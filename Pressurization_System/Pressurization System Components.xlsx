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tucke193_purdue_edu/Documents/PSP/Test Stand/PSPL_Test_Stand/Pressurization_System/"/>
    </mc:Choice>
  </mc:AlternateContent>
  <xr:revisionPtr revIDLastSave="345" documentId="8_{0C52E337-FC1B-4A18-B421-625D5D54919C}" xr6:coauthVersionLast="47" xr6:coauthVersionMax="47" xr10:uidLastSave="{C931D7C8-43BF-4545-B898-D40C283F087D}"/>
  <bookViews>
    <workbookView xWindow="-93" yWindow="-93" windowWidth="25786" windowHeight="13866" xr2:uid="{3E424A66-8FE3-455B-B963-B62F120833CA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 l="1"/>
</calcChain>
</file>

<file path=xl/sharedStrings.xml><?xml version="1.0" encoding="utf-8"?>
<sst xmlns="http://schemas.openxmlformats.org/spreadsheetml/2006/main" count="291" uniqueCount="195">
  <si>
    <t>Line Size</t>
  </si>
  <si>
    <t>Component</t>
  </si>
  <si>
    <t>Informal Name</t>
  </si>
  <si>
    <t>P&amp;ID Name</t>
  </si>
  <si>
    <t>Current Condor Component</t>
  </si>
  <si>
    <t>Actual Name</t>
  </si>
  <si>
    <t>Quantity</t>
  </si>
  <si>
    <t xml:space="preserve">Per Item Cost </t>
  </si>
  <si>
    <t>Net</t>
  </si>
  <si>
    <t>Supplier</t>
  </si>
  <si>
    <t>Manual Ball Valve</t>
  </si>
  <si>
    <t>Main Shutoff</t>
  </si>
  <si>
    <t>MV-N2-306</t>
  </si>
  <si>
    <t>MV-N2-025</t>
  </si>
  <si>
    <t>SVF 5003 A-182 F316L</t>
  </si>
  <si>
    <t>Gen Fittings</t>
  </si>
  <si>
    <t>Parker</t>
  </si>
  <si>
    <t xml:space="preserve">Relief Valve </t>
  </si>
  <si>
    <t>RV-N2-301</t>
  </si>
  <si>
    <t>NONE</t>
  </si>
  <si>
    <t>0.5" 5ksi Relief</t>
  </si>
  <si>
    <t>Panel Vent</t>
  </si>
  <si>
    <t>MV-N2-305</t>
  </si>
  <si>
    <t>MV-N2-203?</t>
  </si>
  <si>
    <t>0.75" Check Valve 1500 psi</t>
  </si>
  <si>
    <t>Pressure Gauge</t>
  </si>
  <si>
    <t>Panel</t>
  </si>
  <si>
    <t>PG-N2-304</t>
  </si>
  <si>
    <t>PG-N2-067</t>
  </si>
  <si>
    <t>McDaniel Controls 6000 psi Gauge</t>
  </si>
  <si>
    <t>Solenoid Valve</t>
  </si>
  <si>
    <t>Filter</t>
  </si>
  <si>
    <t>FLT-N2-301</t>
  </si>
  <si>
    <t>FLT-FU-004</t>
  </si>
  <si>
    <t>Norman Filter Co. - Unknown</t>
  </si>
  <si>
    <t>1500 psi Relief</t>
  </si>
  <si>
    <t>Main Run Shutoff</t>
  </si>
  <si>
    <t>MV-N2-301</t>
  </si>
  <si>
    <t>Unlabelled MV-H20?</t>
  </si>
  <si>
    <t>FNW CF8M 1/2" Ball Valve</t>
  </si>
  <si>
    <t>Tank Burst Disk</t>
  </si>
  <si>
    <t>Control Reg Shutoff</t>
  </si>
  <si>
    <t>MV-N2-302</t>
  </si>
  <si>
    <t>Tank Relief Valve</t>
  </si>
  <si>
    <t>Dome Regulator</t>
  </si>
  <si>
    <t>Fuel Main</t>
  </si>
  <si>
    <t>DR-N2-302</t>
  </si>
  <si>
    <t>GOOD</t>
  </si>
  <si>
    <t>Total</t>
  </si>
  <si>
    <t>Lox Main</t>
  </si>
  <si>
    <t>DR-N2-301</t>
  </si>
  <si>
    <t>Control Regulator</t>
  </si>
  <si>
    <t>Fuel Control</t>
  </si>
  <si>
    <t>CR-N2-302</t>
  </si>
  <si>
    <t>Lox Control</t>
  </si>
  <si>
    <t>CR-N2-301</t>
  </si>
  <si>
    <t>PT</t>
  </si>
  <si>
    <t>PT-N2-302</t>
  </si>
  <si>
    <t>PT-210</t>
  </si>
  <si>
    <t>Honeywell 060-9192-03TJA</t>
  </si>
  <si>
    <t>PT-N2-301</t>
  </si>
  <si>
    <t>PT-OX-001</t>
  </si>
  <si>
    <t>UNIK5000</t>
  </si>
  <si>
    <t>Check Valve</t>
  </si>
  <si>
    <t>Lox Depress Check</t>
  </si>
  <si>
    <t>CV-N2-305</t>
  </si>
  <si>
    <t>Unlabelled CK-N2 6</t>
  </si>
  <si>
    <t>Parker 8F-C8L-1/3-SS</t>
  </si>
  <si>
    <t>CV-N2-303</t>
  </si>
  <si>
    <t>CV-N2-304</t>
  </si>
  <si>
    <t>Igniter Purge</t>
  </si>
  <si>
    <t>PT-N2-041</t>
  </si>
  <si>
    <t>Druck Unik 5000</t>
  </si>
  <si>
    <t>Igniter Purge Shutoff</t>
  </si>
  <si>
    <t>MV-N2-321</t>
  </si>
  <si>
    <t>Manual Regulator</t>
  </si>
  <si>
    <t xml:space="preserve">Igniter Purge </t>
  </si>
  <si>
    <t>MR-N2-321</t>
  </si>
  <si>
    <t>MR-N2-214</t>
  </si>
  <si>
    <t>Tescom 44-1113-24</t>
  </si>
  <si>
    <t>PG-N2-321</t>
  </si>
  <si>
    <t>PG-N2-075</t>
  </si>
  <si>
    <t>McDaniel Controls 3000 psi Gauge</t>
  </si>
  <si>
    <t>SV-N2-321</t>
  </si>
  <si>
    <t xml:space="preserve">Check Valve </t>
  </si>
  <si>
    <t>GOX Purge</t>
  </si>
  <si>
    <t>CK-N2-321</t>
  </si>
  <si>
    <t>Unlabelled CK-N2 1</t>
  </si>
  <si>
    <t>Parker 4LO-C4L-1/3-SS</t>
  </si>
  <si>
    <t>H2 Purge</t>
  </si>
  <si>
    <t>CK-N2-322</t>
  </si>
  <si>
    <t>Unlabelled CK-N2 2</t>
  </si>
  <si>
    <t>Pilot</t>
  </si>
  <si>
    <t>MV-N2-303</t>
  </si>
  <si>
    <t>MR-N2-303</t>
  </si>
  <si>
    <t>MR-N2-206</t>
  </si>
  <si>
    <t>PG-N2-303</t>
  </si>
  <si>
    <t>PG-PDFU-059</t>
  </si>
  <si>
    <t>Purge</t>
  </si>
  <si>
    <t>MV-N2-304</t>
  </si>
  <si>
    <t xml:space="preserve">Manual Regulator </t>
  </si>
  <si>
    <t>Lox Purge</t>
  </si>
  <si>
    <t>MR-N2-301</t>
  </si>
  <si>
    <t>MR-N2-202</t>
  </si>
  <si>
    <t>Fuel Purge</t>
  </si>
  <si>
    <t>MR-N2-302</t>
  </si>
  <si>
    <t>MR-N2-074</t>
  </si>
  <si>
    <t>Tescom 44-1123-24</t>
  </si>
  <si>
    <t>PG-N2-301</t>
  </si>
  <si>
    <t>PG-N2-042</t>
  </si>
  <si>
    <t xml:space="preserve">Fuel Purge </t>
  </si>
  <si>
    <t>PG-N2-302</t>
  </si>
  <si>
    <t>Unlabelled PG (3000 psi)</t>
  </si>
  <si>
    <t>SV-N2-301</t>
  </si>
  <si>
    <t>SV-N2-302</t>
  </si>
  <si>
    <t>CK-N2-301</t>
  </si>
  <si>
    <t>Unlabelled CK-N2 3</t>
  </si>
  <si>
    <t>CK-N2-302</t>
  </si>
  <si>
    <t>Unlabelled CK-N2 4</t>
  </si>
  <si>
    <t>Type</t>
  </si>
  <si>
    <t>Component ID</t>
  </si>
  <si>
    <t>Manufacturer Part ID</t>
  </si>
  <si>
    <t>Pressure Rating IN (psig)</t>
  </si>
  <si>
    <t>Pressure Rating OUT (psig)</t>
  </si>
  <si>
    <t>Current Usage</t>
  </si>
  <si>
    <t>Cv</t>
  </si>
  <si>
    <t>Dome-Loaded</t>
  </si>
  <si>
    <t>DR-OX-017</t>
  </si>
  <si>
    <t>Tescom 26-1111-382-158</t>
  </si>
  <si>
    <t>Manual</t>
  </si>
  <si>
    <t>MR-PDOX-084/MR-IGOX-201</t>
  </si>
  <si>
    <t>Tescom 44-1114-24-219</t>
  </si>
  <si>
    <t>Igniter Ox Regulator</t>
  </si>
  <si>
    <t>Dome-Loaded Regulator</t>
  </si>
  <si>
    <t>DR-FU-005</t>
  </si>
  <si>
    <t>Tescom 26-1121-382</t>
  </si>
  <si>
    <t>Bulk H2 Supply Regulator</t>
  </si>
  <si>
    <t>Dome? Regulator</t>
  </si>
  <si>
    <t>SR-OX-207</t>
  </si>
  <si>
    <t>Tescom 26-1211-3121-094</t>
  </si>
  <si>
    <t>1?</t>
  </si>
  <si>
    <t>Unknown Ox Reg.</t>
  </si>
  <si>
    <t>MR-FU-200</t>
  </si>
  <si>
    <t>Tescom (...)-1367-1081-201</t>
  </si>
  <si>
    <t>Low Flow Fuel Regulator</t>
  </si>
  <si>
    <t>MR-PDFU-057/MR-IGFU-201</t>
  </si>
  <si>
    <t>Tescom 26-2063D34S272</t>
  </si>
  <si>
    <t>0.25 OUT</t>
  </si>
  <si>
    <t>MR-IGFU-202</t>
  </si>
  <si>
    <t>0.5 OUT</t>
  </si>
  <si>
    <t>Secondary Igniter Fuel Regulator</t>
  </si>
  <si>
    <t>Electronic Regulator</t>
  </si>
  <si>
    <t>Unlabelled CR-N2</t>
  </si>
  <si>
    <t>Tescom 26-2015T34A270</t>
  </si>
  <si>
    <t>Downstream Purge Supply Regulator</t>
  </si>
  <si>
    <t>MR-N2-201</t>
  </si>
  <si>
    <t>Tescom 44-1164-24</t>
  </si>
  <si>
    <t>High Flow Ox Purge Regulator</t>
  </si>
  <si>
    <t>MR-N2-212</t>
  </si>
  <si>
    <t>High Flow Fuel Purge Regulator</t>
  </si>
  <si>
    <t>MR-N2-207</t>
  </si>
  <si>
    <t>Tescom 44-1121-24</t>
  </si>
  <si>
    <t>Low Flow Ox Purge Regulator</t>
  </si>
  <si>
    <t>MR-N2-203</t>
  </si>
  <si>
    <t>Low Flow Fuel Purge Regulator</t>
  </si>
  <si>
    <t>N/A</t>
  </si>
  <si>
    <t>Tescom 44-4019A18-014</t>
  </si>
  <si>
    <t>CR-N2-079</t>
  </si>
  <si>
    <t>Tescom 26-2046D14A271</t>
  </si>
  <si>
    <t>2500 psig OUT</t>
  </si>
  <si>
    <t>Secondary Igniter Ox Reg. Supply Regulator</t>
  </si>
  <si>
    <t>CR-N2-047</t>
  </si>
  <si>
    <t>Tescom 26-2046D14A272</t>
  </si>
  <si>
    <t>2500 psig</t>
  </si>
  <si>
    <t>Bulk H2 Reg. Supply Regulator</t>
  </si>
  <si>
    <t>CR-N2-202</t>
  </si>
  <si>
    <t>Tescom 26-2015T24A270</t>
  </si>
  <si>
    <t>1500 psig</t>
  </si>
  <si>
    <t>Unknown Ox Reg Control Regulator</t>
  </si>
  <si>
    <t>LN2 Press. Regulator</t>
  </si>
  <si>
    <t>Low Flow Ox Press. Regulator</t>
  </si>
  <si>
    <t>MR-IGN2-202</t>
  </si>
  <si>
    <t>Tescom 26-1061-34-008</t>
  </si>
  <si>
    <t>10000 psig</t>
  </si>
  <si>
    <t>Secondary Igniter Purge Regulator</t>
  </si>
  <si>
    <t>MR-N2-028</t>
  </si>
  <si>
    <t>Tescom - Unknown</t>
  </si>
  <si>
    <t>500 psig</t>
  </si>
  <si>
    <t>Pilot Press. Regulator</t>
  </si>
  <si>
    <t>MR-N2-065</t>
  </si>
  <si>
    <t>Igniter Purge Regulator</t>
  </si>
  <si>
    <t>Low Flow Fuel Press. Regulator</t>
  </si>
  <si>
    <t>Ox Purge Regulator</t>
  </si>
  <si>
    <t>MR-N2-040</t>
  </si>
  <si>
    <t>H2 Purge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</si>
</sst>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524F6-DA79-497E-9FB7-EAB6B88FF4CE}" name="Table1" displayName="Table1" ref="J1:N9" totalsRowCount="1">
  <autoFilter ref="J1:N8" xr:uid="{6C8524F6-DA79-497E-9FB7-EAB6B88FF4CE}"/>
  <tableColumns count="5">
    <tableColumn id="4" xr3:uid="{7FBD0828-7DEE-4E4D-93FB-472C368422B0}" name="Quantity" totalsRowLabel="Total"/>
    <tableColumn id="1" xr3:uid="{04A1FC0C-74BF-45A5-9E91-EC70CFBE82C6}" name="Component"/>
    <tableColumn id="2" xr3:uid="{2CC52FE9-0DF8-4D28-B78A-733B4A77BBE8}" name="Per Item Cost " dataDxfId="2" dataCellStyle="Currency"/>
    <tableColumn id="5" xr3:uid="{C65E766E-6293-42DC-8A42-4C8E73B11CDF}" name="Net" totalsRowFunction="sum" dataDxfId="0" totalsRowDxfId="1" dataCellStyle="Currency">
      <calculatedColumnFormula>Table1[[#This Row],[Quantity]]*Table1[[#This Row],[Per Item Cost ]]</calculatedColumnFormula>
    </tableColumn>
    <tableColumn id="3" xr3:uid="{D79501DF-04DC-4C1F-A043-26914273CFA4}" name="Sup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4FAD-E267-4E23-90FA-4A03AAF51ADC}">
  <dimension ref="A1:N36"/>
  <sheetViews>
    <sheetView tabSelected="1" zoomScaleNormal="100" workbookViewId="0">
      <selection activeCell="L18" sqref="L18"/>
    </sheetView>
  </sheetViews>
  <sheetFormatPr defaultRowHeight="14.45"/>
  <cols>
    <col min="2" max="2" width="14.42578125" bestFit="1" customWidth="1"/>
    <col min="3" max="3" width="16.42578125" bestFit="1" customWidth="1"/>
    <col min="4" max="4" width="9.5703125" bestFit="1" customWidth="1"/>
    <col min="5" max="5" width="22.7109375" bestFit="1" customWidth="1"/>
    <col min="6" max="6" width="19.42578125" bestFit="1" customWidth="1"/>
    <col min="10" max="10" width="9.85546875" bestFit="1" customWidth="1"/>
    <col min="11" max="11" width="22.7109375" bestFit="1" customWidth="1"/>
    <col min="12" max="12" width="14.28515625" bestFit="1" customWidth="1"/>
    <col min="13" max="13" width="11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  <c r="K1" t="s">
        <v>1</v>
      </c>
      <c r="L1" t="s">
        <v>7</v>
      </c>
      <c r="M1" t="s">
        <v>8</v>
      </c>
      <c r="N1" t="s">
        <v>9</v>
      </c>
    </row>
    <row r="2" spans="1:14">
      <c r="A2">
        <v>0.5</v>
      </c>
      <c r="B2" t="s">
        <v>10</v>
      </c>
      <c r="C2" t="s">
        <v>11</v>
      </c>
      <c r="D2" t="s">
        <v>12</v>
      </c>
      <c r="E2" t="s">
        <v>13</v>
      </c>
      <c r="F2" s="3" t="s">
        <v>14</v>
      </c>
      <c r="J2">
        <v>1</v>
      </c>
      <c r="K2" t="s">
        <v>15</v>
      </c>
      <c r="L2" s="6">
        <v>2000</v>
      </c>
      <c r="M2" s="6">
        <f>Table1[[#This Row],[Quantity]]*Table1[[#This Row],[Per Item Cost ]]</f>
        <v>2000</v>
      </c>
      <c r="N2" t="s">
        <v>16</v>
      </c>
    </row>
    <row r="3" spans="1:14">
      <c r="A3">
        <v>0.5</v>
      </c>
      <c r="B3" t="s">
        <v>17</v>
      </c>
      <c r="D3" t="s">
        <v>18</v>
      </c>
      <c r="E3" s="4" t="s">
        <v>19</v>
      </c>
      <c r="J3">
        <v>1</v>
      </c>
      <c r="K3" t="s">
        <v>20</v>
      </c>
      <c r="L3" s="6">
        <v>400</v>
      </c>
      <c r="M3" s="6">
        <f>Table1[[#This Row],[Quantity]]*Table1[[#This Row],[Per Item Cost ]]</f>
        <v>400</v>
      </c>
    </row>
    <row r="4" spans="1:14">
      <c r="A4">
        <v>0.5</v>
      </c>
      <c r="B4" t="s">
        <v>10</v>
      </c>
      <c r="C4" t="s">
        <v>21</v>
      </c>
      <c r="D4" t="s">
        <v>22</v>
      </c>
      <c r="E4" t="s">
        <v>23</v>
      </c>
      <c r="J4">
        <v>2</v>
      </c>
      <c r="K4" t="s">
        <v>24</v>
      </c>
      <c r="L4" s="6">
        <v>300</v>
      </c>
      <c r="M4" s="6">
        <f>Table1[[#This Row],[Quantity]]*Table1[[#This Row],[Per Item Cost ]]</f>
        <v>600</v>
      </c>
    </row>
    <row r="5" spans="1:14">
      <c r="A5">
        <v>0.5</v>
      </c>
      <c r="B5" t="s">
        <v>25</v>
      </c>
      <c r="C5" t="s">
        <v>26</v>
      </c>
      <c r="D5" t="s">
        <v>27</v>
      </c>
      <c r="E5" s="3" t="s">
        <v>28</v>
      </c>
      <c r="F5" s="3" t="s">
        <v>29</v>
      </c>
      <c r="J5">
        <v>3</v>
      </c>
      <c r="K5" s="6" t="s">
        <v>30</v>
      </c>
      <c r="L5" s="6">
        <v>100</v>
      </c>
      <c r="M5" s="6">
        <f>Table1[[#This Row],[Quantity]]*Table1[[#This Row],[Per Item Cost ]]</f>
        <v>300</v>
      </c>
    </row>
    <row r="6" spans="1:14">
      <c r="A6">
        <v>0.5</v>
      </c>
      <c r="B6" t="s">
        <v>31</v>
      </c>
      <c r="D6" t="s">
        <v>32</v>
      </c>
      <c r="E6" s="3" t="s">
        <v>33</v>
      </c>
      <c r="F6" s="3" t="s">
        <v>34</v>
      </c>
      <c r="J6">
        <v>2</v>
      </c>
      <c r="K6" s="6" t="s">
        <v>35</v>
      </c>
      <c r="L6" s="6">
        <v>200</v>
      </c>
      <c r="M6" s="6">
        <f>Table1[[#This Row],[Quantity]]*Table1[[#This Row],[Per Item Cost ]]</f>
        <v>400</v>
      </c>
    </row>
    <row r="7" spans="1:14">
      <c r="A7">
        <v>0.5</v>
      </c>
      <c r="B7" t="s">
        <v>10</v>
      </c>
      <c r="C7" t="s">
        <v>36</v>
      </c>
      <c r="D7" t="s">
        <v>37</v>
      </c>
      <c r="E7" s="3" t="s">
        <v>38</v>
      </c>
      <c r="F7" s="3" t="s">
        <v>39</v>
      </c>
      <c r="J7">
        <v>2</v>
      </c>
      <c r="K7" s="6" t="s">
        <v>40</v>
      </c>
      <c r="L7" s="6">
        <v>1500</v>
      </c>
      <c r="M7" s="6">
        <f>Table1[[#This Row],[Quantity]]*Table1[[#This Row],[Per Item Cost ]]</f>
        <v>3000</v>
      </c>
    </row>
    <row r="8" spans="1:14">
      <c r="A8">
        <v>0.25</v>
      </c>
      <c r="B8" t="s">
        <v>10</v>
      </c>
      <c r="C8" t="s">
        <v>41</v>
      </c>
      <c r="D8" t="s">
        <v>42</v>
      </c>
      <c r="E8" s="5" t="s">
        <v>19</v>
      </c>
      <c r="J8">
        <v>2</v>
      </c>
      <c r="K8" s="6" t="s">
        <v>43</v>
      </c>
      <c r="L8" s="6">
        <v>1855</v>
      </c>
      <c r="M8" s="6">
        <f>Table1[[#This Row],[Quantity]]*Table1[[#This Row],[Per Item Cost ]]</f>
        <v>3710</v>
      </c>
    </row>
    <row r="9" spans="1:14">
      <c r="A9">
        <v>0.5</v>
      </c>
      <c r="B9" t="s">
        <v>44</v>
      </c>
      <c r="C9" t="s">
        <v>45</v>
      </c>
      <c r="D9" t="s">
        <v>46</v>
      </c>
      <c r="E9" s="3" t="s">
        <v>47</v>
      </c>
      <c r="J9" t="s">
        <v>48</v>
      </c>
      <c r="M9" s="7">
        <f>SUBTOTAL(109,Table1[Net])</f>
        <v>10410</v>
      </c>
    </row>
    <row r="10" spans="1:14">
      <c r="A10">
        <v>0.5</v>
      </c>
      <c r="B10" t="s">
        <v>44</v>
      </c>
      <c r="C10" t="s">
        <v>49</v>
      </c>
      <c r="D10" t="s">
        <v>50</v>
      </c>
      <c r="E10" s="3" t="s">
        <v>47</v>
      </c>
      <c r="K10" s="6"/>
    </row>
    <row r="11" spans="1:14">
      <c r="A11">
        <v>0.375</v>
      </c>
      <c r="B11" t="s">
        <v>51</v>
      </c>
      <c r="C11" t="s">
        <v>52</v>
      </c>
      <c r="D11" t="s">
        <v>53</v>
      </c>
      <c r="E11" s="3" t="s">
        <v>47</v>
      </c>
      <c r="K11" s="6"/>
    </row>
    <row r="12" spans="1:14">
      <c r="A12">
        <v>0.375</v>
      </c>
      <c r="B12" t="s">
        <v>51</v>
      </c>
      <c r="C12" t="s">
        <v>54</v>
      </c>
      <c r="D12" t="s">
        <v>55</v>
      </c>
      <c r="E12" s="3" t="s">
        <v>47</v>
      </c>
      <c r="K12" s="6"/>
    </row>
    <row r="13" spans="1:14">
      <c r="A13">
        <v>0.25</v>
      </c>
      <c r="B13" t="s">
        <v>56</v>
      </c>
      <c r="C13" t="s">
        <v>52</v>
      </c>
      <c r="D13" t="s">
        <v>57</v>
      </c>
      <c r="E13" s="3" t="s">
        <v>58</v>
      </c>
      <c r="F13" s="3" t="s">
        <v>59</v>
      </c>
      <c r="K13" s="6"/>
    </row>
    <row r="14" spans="1:14">
      <c r="A14">
        <v>0.25</v>
      </c>
      <c r="B14" t="s">
        <v>56</v>
      </c>
      <c r="C14" t="s">
        <v>54</v>
      </c>
      <c r="D14" t="s">
        <v>60</v>
      </c>
      <c r="E14" s="3" t="s">
        <v>61</v>
      </c>
      <c r="F14" s="3" t="s">
        <v>62</v>
      </c>
    </row>
    <row r="15" spans="1:14">
      <c r="A15">
        <v>0.5</v>
      </c>
      <c r="B15" t="s">
        <v>63</v>
      </c>
      <c r="C15" t="s">
        <v>64</v>
      </c>
      <c r="D15" t="s">
        <v>65</v>
      </c>
      <c r="E15" s="3" t="s">
        <v>66</v>
      </c>
      <c r="F15" s="3" t="s">
        <v>67</v>
      </c>
    </row>
    <row r="16" spans="1:14">
      <c r="A16">
        <v>0.75</v>
      </c>
      <c r="B16" t="s">
        <v>63</v>
      </c>
      <c r="C16" t="s">
        <v>49</v>
      </c>
      <c r="D16" t="s">
        <v>68</v>
      </c>
      <c r="E16" s="5" t="s">
        <v>19</v>
      </c>
    </row>
    <row r="17" spans="1:6">
      <c r="A17">
        <v>0.75</v>
      </c>
      <c r="B17" t="s">
        <v>63</v>
      </c>
      <c r="C17" t="s">
        <v>45</v>
      </c>
      <c r="D17" t="s">
        <v>69</v>
      </c>
      <c r="E17" s="5" t="s">
        <v>19</v>
      </c>
    </row>
    <row r="18" spans="1:6">
      <c r="A18">
        <v>0.25</v>
      </c>
      <c r="B18" t="s">
        <v>56</v>
      </c>
      <c r="C18" t="s">
        <v>70</v>
      </c>
      <c r="E18" s="3" t="s">
        <v>71</v>
      </c>
      <c r="F18" s="3" t="s">
        <v>72</v>
      </c>
    </row>
    <row r="19" spans="1:6">
      <c r="A19">
        <v>0.25</v>
      </c>
      <c r="B19" t="s">
        <v>10</v>
      </c>
      <c r="C19" t="s">
        <v>73</v>
      </c>
      <c r="D19" t="s">
        <v>74</v>
      </c>
      <c r="E19" s="3" t="s">
        <v>19</v>
      </c>
    </row>
    <row r="20" spans="1:6">
      <c r="A20">
        <v>0.25</v>
      </c>
      <c r="B20" t="s">
        <v>75</v>
      </c>
      <c r="C20" t="s">
        <v>76</v>
      </c>
      <c r="D20" t="s">
        <v>77</v>
      </c>
      <c r="E20" s="3" t="s">
        <v>78</v>
      </c>
      <c r="F20" s="3" t="s">
        <v>79</v>
      </c>
    </row>
    <row r="21" spans="1:6">
      <c r="A21">
        <v>0.25</v>
      </c>
      <c r="B21" t="s">
        <v>25</v>
      </c>
      <c r="C21" t="s">
        <v>70</v>
      </c>
      <c r="D21" t="s">
        <v>80</v>
      </c>
      <c r="E21" s="3" t="s">
        <v>81</v>
      </c>
      <c r="F21" s="3" t="s">
        <v>82</v>
      </c>
    </row>
    <row r="22" spans="1:6">
      <c r="A22">
        <v>0.25</v>
      </c>
      <c r="B22" t="s">
        <v>30</v>
      </c>
      <c r="C22" t="s">
        <v>70</v>
      </c>
      <c r="D22" t="s">
        <v>83</v>
      </c>
      <c r="E22" s="5" t="s">
        <v>19</v>
      </c>
    </row>
    <row r="23" spans="1:6">
      <c r="A23">
        <v>0.25</v>
      </c>
      <c r="B23" t="s">
        <v>84</v>
      </c>
      <c r="C23" t="s">
        <v>85</v>
      </c>
      <c r="D23" t="s">
        <v>86</v>
      </c>
      <c r="E23" s="3" t="s">
        <v>87</v>
      </c>
      <c r="F23" s="3" t="s">
        <v>88</v>
      </c>
    </row>
    <row r="24" spans="1:6">
      <c r="A24">
        <v>0.25</v>
      </c>
      <c r="B24" t="s">
        <v>63</v>
      </c>
      <c r="C24" t="s">
        <v>89</v>
      </c>
      <c r="D24" t="s">
        <v>90</v>
      </c>
      <c r="E24" s="3" t="s">
        <v>91</v>
      </c>
      <c r="F24" s="3" t="s">
        <v>88</v>
      </c>
    </row>
    <row r="25" spans="1:6">
      <c r="A25">
        <v>0.25</v>
      </c>
      <c r="B25" t="s">
        <v>10</v>
      </c>
      <c r="C25" t="s">
        <v>92</v>
      </c>
      <c r="D25" t="s">
        <v>93</v>
      </c>
      <c r="E25" s="5" t="s">
        <v>19</v>
      </c>
    </row>
    <row r="26" spans="1:6">
      <c r="A26">
        <v>0.25</v>
      </c>
      <c r="B26" t="s">
        <v>75</v>
      </c>
      <c r="C26" t="s">
        <v>92</v>
      </c>
      <c r="D26" t="s">
        <v>94</v>
      </c>
      <c r="E26" s="3" t="s">
        <v>95</v>
      </c>
      <c r="F26" s="3" t="s">
        <v>79</v>
      </c>
    </row>
    <row r="27" spans="1:6">
      <c r="A27">
        <v>0.25</v>
      </c>
      <c r="B27" t="s">
        <v>25</v>
      </c>
      <c r="C27" t="s">
        <v>92</v>
      </c>
      <c r="D27" t="s">
        <v>96</v>
      </c>
      <c r="E27" s="3" t="s">
        <v>97</v>
      </c>
      <c r="F27" s="3" t="s">
        <v>82</v>
      </c>
    </row>
    <row r="28" spans="1:6">
      <c r="A28">
        <v>0.25</v>
      </c>
      <c r="B28" t="s">
        <v>10</v>
      </c>
      <c r="C28" t="s">
        <v>98</v>
      </c>
      <c r="D28" t="s">
        <v>99</v>
      </c>
      <c r="E28" s="5" t="s">
        <v>19</v>
      </c>
    </row>
    <row r="29" spans="1:6">
      <c r="A29">
        <v>0.25</v>
      </c>
      <c r="B29" t="s">
        <v>100</v>
      </c>
      <c r="C29" t="s">
        <v>101</v>
      </c>
      <c r="D29" t="s">
        <v>102</v>
      </c>
      <c r="E29" s="3" t="s">
        <v>103</v>
      </c>
      <c r="F29" s="3" t="s">
        <v>79</v>
      </c>
    </row>
    <row r="30" spans="1:6">
      <c r="A30">
        <v>0.25</v>
      </c>
      <c r="B30" t="s">
        <v>100</v>
      </c>
      <c r="C30" t="s">
        <v>104</v>
      </c>
      <c r="D30" t="s">
        <v>105</v>
      </c>
      <c r="E30" s="3" t="s">
        <v>106</v>
      </c>
      <c r="F30" s="3" t="s">
        <v>107</v>
      </c>
    </row>
    <row r="31" spans="1:6">
      <c r="A31">
        <v>0.25</v>
      </c>
      <c r="B31" t="s">
        <v>25</v>
      </c>
      <c r="C31" t="s">
        <v>101</v>
      </c>
      <c r="D31" t="s">
        <v>108</v>
      </c>
      <c r="E31" s="3" t="s">
        <v>109</v>
      </c>
      <c r="F31" s="3" t="s">
        <v>82</v>
      </c>
    </row>
    <row r="32" spans="1:6">
      <c r="A32">
        <v>0.25</v>
      </c>
      <c r="B32" t="s">
        <v>25</v>
      </c>
      <c r="C32" t="s">
        <v>110</v>
      </c>
      <c r="D32" t="s">
        <v>111</v>
      </c>
      <c r="E32" s="3" t="s">
        <v>112</v>
      </c>
      <c r="F32" s="3" t="s">
        <v>82</v>
      </c>
    </row>
    <row r="33" spans="1:6">
      <c r="A33">
        <v>0.25</v>
      </c>
      <c r="B33" t="s">
        <v>30</v>
      </c>
      <c r="C33" t="s">
        <v>101</v>
      </c>
      <c r="D33" t="s">
        <v>113</v>
      </c>
      <c r="E33" s="5" t="s">
        <v>19</v>
      </c>
    </row>
    <row r="34" spans="1:6">
      <c r="A34">
        <v>0.25</v>
      </c>
      <c r="B34" t="s">
        <v>30</v>
      </c>
      <c r="C34" t="s">
        <v>104</v>
      </c>
      <c r="D34" t="s">
        <v>114</v>
      </c>
      <c r="E34" s="5" t="s">
        <v>19</v>
      </c>
    </row>
    <row r="35" spans="1:6">
      <c r="A35">
        <v>0.25</v>
      </c>
      <c r="B35" t="s">
        <v>63</v>
      </c>
      <c r="C35" t="s">
        <v>101</v>
      </c>
      <c r="D35" t="s">
        <v>115</v>
      </c>
      <c r="E35" s="3" t="s">
        <v>116</v>
      </c>
      <c r="F35" s="3" t="s">
        <v>88</v>
      </c>
    </row>
    <row r="36" spans="1:6">
      <c r="A36">
        <v>0.25</v>
      </c>
      <c r="B36" t="s">
        <v>63</v>
      </c>
      <c r="C36" t="s">
        <v>110</v>
      </c>
      <c r="D36" t="s">
        <v>117</v>
      </c>
      <c r="E36" s="3" t="s">
        <v>118</v>
      </c>
      <c r="F36" s="3" t="s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BF18-553D-42B5-AE44-73ADF369FC98}">
  <dimension ref="A1:H26"/>
  <sheetViews>
    <sheetView zoomScale="115" zoomScaleNormal="115" workbookViewId="0">
      <pane ySplit="1" topLeftCell="A2" activePane="bottomLeft" state="frozen"/>
      <selection pane="bottomLeft" activeCell="B11" sqref="B11"/>
    </sheetView>
  </sheetViews>
  <sheetFormatPr defaultRowHeight="14.45"/>
  <cols>
    <col min="1" max="1" width="19.7109375" bestFit="1" customWidth="1"/>
    <col min="2" max="2" width="23.28515625" bestFit="1" customWidth="1"/>
    <col min="3" max="3" width="23" bestFit="1" customWidth="1"/>
    <col min="4" max="4" width="20.28515625" bestFit="1" customWidth="1"/>
    <col min="5" max="5" width="22" bestFit="1" customWidth="1"/>
    <col min="6" max="6" width="16.5703125" customWidth="1"/>
    <col min="7" max="7" width="34.28515625" bestFit="1" customWidth="1"/>
    <col min="8" max="8" width="13.28515625" customWidth="1"/>
  </cols>
  <sheetData>
    <row r="1" spans="1:8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0</v>
      </c>
      <c r="G1" s="1" t="s">
        <v>124</v>
      </c>
      <c r="H1" s="1" t="s">
        <v>125</v>
      </c>
    </row>
    <row r="2" spans="1:8" ht="17.45" customHeight="1">
      <c r="A2" s="2" t="s">
        <v>126</v>
      </c>
      <c r="B2" s="2" t="s">
        <v>127</v>
      </c>
      <c r="C2" s="2" t="s">
        <v>128</v>
      </c>
      <c r="D2" s="2">
        <v>6000</v>
      </c>
      <c r="E2" s="2">
        <v>6000</v>
      </c>
      <c r="F2" s="2">
        <v>0.5</v>
      </c>
      <c r="G2" s="2"/>
      <c r="H2" s="2"/>
    </row>
    <row r="3" spans="1:8">
      <c r="A3" s="2" t="s">
        <v>129</v>
      </c>
      <c r="B3" s="2" t="s">
        <v>130</v>
      </c>
      <c r="C3" s="2" t="s">
        <v>131</v>
      </c>
      <c r="D3" s="2">
        <v>6000</v>
      </c>
      <c r="E3" s="2">
        <v>2500</v>
      </c>
      <c r="F3" s="2">
        <v>0.25</v>
      </c>
      <c r="G3" s="2" t="s">
        <v>132</v>
      </c>
      <c r="H3" s="2"/>
    </row>
    <row r="4" spans="1:8">
      <c r="A4" s="2" t="s">
        <v>133</v>
      </c>
      <c r="B4" s="2" t="s">
        <v>134</v>
      </c>
      <c r="C4" s="2" t="s">
        <v>135</v>
      </c>
      <c r="D4" s="2">
        <v>6000</v>
      </c>
      <c r="E4" s="2">
        <v>6000</v>
      </c>
      <c r="F4" s="2">
        <v>0.5</v>
      </c>
      <c r="G4" s="2" t="s">
        <v>136</v>
      </c>
      <c r="H4" s="2"/>
    </row>
    <row r="5" spans="1:8">
      <c r="A5" s="2" t="s">
        <v>137</v>
      </c>
      <c r="B5" s="2" t="s">
        <v>138</v>
      </c>
      <c r="C5" s="2" t="s">
        <v>139</v>
      </c>
      <c r="D5" s="2">
        <v>3000</v>
      </c>
      <c r="E5" s="2">
        <v>3000</v>
      </c>
      <c r="F5" s="2" t="s">
        <v>140</v>
      </c>
      <c r="G5" s="2" t="s">
        <v>141</v>
      </c>
      <c r="H5" s="2"/>
    </row>
    <row r="6" spans="1:8">
      <c r="A6" s="2" t="s">
        <v>75</v>
      </c>
      <c r="B6" s="2" t="s">
        <v>142</v>
      </c>
      <c r="C6" s="2" t="s">
        <v>143</v>
      </c>
      <c r="D6" s="2"/>
      <c r="E6" s="2"/>
      <c r="F6" s="2">
        <v>0.5</v>
      </c>
      <c r="G6" s="2" t="s">
        <v>144</v>
      </c>
      <c r="H6" s="2"/>
    </row>
    <row r="7" spans="1:8">
      <c r="A7" s="2" t="s">
        <v>75</v>
      </c>
      <c r="B7" s="2" t="s">
        <v>145</v>
      </c>
      <c r="C7" s="2" t="s">
        <v>146</v>
      </c>
      <c r="D7" s="2">
        <v>10000</v>
      </c>
      <c r="E7" s="2">
        <v>4000</v>
      </c>
      <c r="F7" s="2" t="s">
        <v>147</v>
      </c>
      <c r="G7" s="2"/>
      <c r="H7" s="2"/>
    </row>
    <row r="8" spans="1:8">
      <c r="A8" s="2" t="s">
        <v>75</v>
      </c>
      <c r="B8" s="2" t="s">
        <v>148</v>
      </c>
      <c r="C8" s="2" t="s">
        <v>146</v>
      </c>
      <c r="D8" s="2">
        <v>10000</v>
      </c>
      <c r="E8" s="2">
        <v>4000</v>
      </c>
      <c r="F8" s="2" t="s">
        <v>149</v>
      </c>
      <c r="G8" s="2" t="s">
        <v>150</v>
      </c>
      <c r="H8" s="2"/>
    </row>
    <row r="9" spans="1:8">
      <c r="A9" s="2" t="s">
        <v>151</v>
      </c>
      <c r="B9" s="2" t="s">
        <v>152</v>
      </c>
      <c r="C9" s="2" t="s">
        <v>153</v>
      </c>
      <c r="D9" s="2">
        <v>6000</v>
      </c>
      <c r="E9" s="2">
        <v>1500</v>
      </c>
      <c r="F9" s="2">
        <v>0.25</v>
      </c>
      <c r="G9" s="2" t="s">
        <v>154</v>
      </c>
      <c r="H9" s="2"/>
    </row>
    <row r="10" spans="1:8">
      <c r="A10" s="2" t="s">
        <v>75</v>
      </c>
      <c r="B10" s="2" t="s">
        <v>155</v>
      </c>
      <c r="C10" s="2" t="s">
        <v>156</v>
      </c>
      <c r="D10" s="2">
        <v>10000</v>
      </c>
      <c r="E10" s="2">
        <v>2500</v>
      </c>
      <c r="F10" s="2">
        <v>0.25</v>
      </c>
      <c r="G10" s="2" t="s">
        <v>157</v>
      </c>
      <c r="H10" s="2"/>
    </row>
    <row r="11" spans="1:8">
      <c r="A11" s="2" t="s">
        <v>75</v>
      </c>
      <c r="B11" s="2" t="s">
        <v>158</v>
      </c>
      <c r="C11" s="2" t="s">
        <v>156</v>
      </c>
      <c r="D11" s="2">
        <v>10000</v>
      </c>
      <c r="E11" s="2">
        <v>2500</v>
      </c>
      <c r="F11" s="2">
        <v>0.25</v>
      </c>
      <c r="G11" s="2" t="s">
        <v>159</v>
      </c>
      <c r="H11" s="2"/>
    </row>
    <row r="12" spans="1:8">
      <c r="A12" s="2" t="s">
        <v>75</v>
      </c>
      <c r="B12" s="2" t="s">
        <v>160</v>
      </c>
      <c r="C12" s="2" t="s">
        <v>161</v>
      </c>
      <c r="D12" s="2">
        <v>10000</v>
      </c>
      <c r="E12" s="2">
        <v>500</v>
      </c>
      <c r="F12" s="2">
        <v>0.25</v>
      </c>
      <c r="G12" s="2" t="s">
        <v>162</v>
      </c>
      <c r="H12" s="2"/>
    </row>
    <row r="13" spans="1:8">
      <c r="A13" s="2" t="s">
        <v>75</v>
      </c>
      <c r="B13" s="2" t="s">
        <v>163</v>
      </c>
      <c r="C13" s="2" t="s">
        <v>161</v>
      </c>
      <c r="D13" s="2">
        <v>10000</v>
      </c>
      <c r="E13" s="2">
        <v>500</v>
      </c>
      <c r="F13" s="2">
        <v>0.25</v>
      </c>
      <c r="G13" s="2" t="s">
        <v>164</v>
      </c>
      <c r="H13" s="2"/>
    </row>
    <row r="14" spans="1:8">
      <c r="A14" s="2" t="s">
        <v>151</v>
      </c>
      <c r="B14" s="2" t="s">
        <v>165</v>
      </c>
      <c r="C14" s="2" t="s">
        <v>166</v>
      </c>
      <c r="D14" s="2">
        <v>6000</v>
      </c>
      <c r="E14" s="2">
        <v>1500</v>
      </c>
      <c r="F14" s="2">
        <v>0.5</v>
      </c>
      <c r="G14" s="2"/>
      <c r="H14" s="2"/>
    </row>
    <row r="15" spans="1:8">
      <c r="A15" s="2" t="s">
        <v>151</v>
      </c>
      <c r="B15" s="2" t="s">
        <v>167</v>
      </c>
      <c r="C15" s="2" t="s">
        <v>168</v>
      </c>
      <c r="D15" s="2">
        <v>10000</v>
      </c>
      <c r="E15" s="2" t="s">
        <v>169</v>
      </c>
      <c r="F15" s="2">
        <v>0.25</v>
      </c>
      <c r="G15" s="2" t="s">
        <v>170</v>
      </c>
      <c r="H15" s="2"/>
    </row>
    <row r="16" spans="1:8">
      <c r="A16" s="2" t="s">
        <v>151</v>
      </c>
      <c r="B16" s="2" t="s">
        <v>171</v>
      </c>
      <c r="C16" s="2" t="s">
        <v>172</v>
      </c>
      <c r="D16" s="2">
        <v>10000</v>
      </c>
      <c r="E16" s="2" t="s">
        <v>173</v>
      </c>
      <c r="F16" s="2">
        <v>0.25</v>
      </c>
      <c r="G16" s="2" t="s">
        <v>174</v>
      </c>
      <c r="H16" s="2"/>
    </row>
    <row r="17" spans="1:8">
      <c r="A17" s="2" t="s">
        <v>151</v>
      </c>
      <c r="B17" s="2" t="s">
        <v>175</v>
      </c>
      <c r="C17" s="2" t="s">
        <v>176</v>
      </c>
      <c r="D17" s="2">
        <v>6000</v>
      </c>
      <c r="E17" s="2" t="s">
        <v>177</v>
      </c>
      <c r="F17" s="2">
        <v>0.25</v>
      </c>
      <c r="G17" s="2" t="s">
        <v>178</v>
      </c>
      <c r="H17" s="2"/>
    </row>
    <row r="18" spans="1:8">
      <c r="A18" s="2" t="s">
        <v>75</v>
      </c>
      <c r="B18" s="2" t="s">
        <v>78</v>
      </c>
      <c r="C18" s="2" t="s">
        <v>79</v>
      </c>
      <c r="D18" s="2">
        <v>6000</v>
      </c>
      <c r="E18" s="2" t="s">
        <v>177</v>
      </c>
      <c r="F18" s="2"/>
      <c r="G18" s="2" t="s">
        <v>179</v>
      </c>
      <c r="H18" s="2"/>
    </row>
    <row r="19" spans="1:8">
      <c r="A19" s="2" t="s">
        <v>75</v>
      </c>
      <c r="B19" s="2" t="s">
        <v>95</v>
      </c>
      <c r="C19" s="2" t="s">
        <v>79</v>
      </c>
      <c r="D19" s="2">
        <v>6000</v>
      </c>
      <c r="E19" s="2"/>
      <c r="F19" s="2"/>
      <c r="G19" s="2" t="s">
        <v>180</v>
      </c>
      <c r="H19" s="2"/>
    </row>
    <row r="20" spans="1:8">
      <c r="A20" s="2" t="s">
        <v>75</v>
      </c>
      <c r="B20" s="2" t="s">
        <v>181</v>
      </c>
      <c r="C20" s="2" t="s">
        <v>182</v>
      </c>
      <c r="D20" s="2">
        <v>10000</v>
      </c>
      <c r="E20" s="2" t="s">
        <v>183</v>
      </c>
      <c r="F20" s="2"/>
      <c r="G20" s="2" t="s">
        <v>184</v>
      </c>
      <c r="H20" s="2"/>
    </row>
    <row r="21" spans="1:8">
      <c r="A21" s="2" t="s">
        <v>75</v>
      </c>
      <c r="B21" s="2" t="s">
        <v>185</v>
      </c>
      <c r="C21" s="2" t="s">
        <v>186</v>
      </c>
      <c r="D21" s="2">
        <v>10000</v>
      </c>
      <c r="E21" s="2" t="s">
        <v>187</v>
      </c>
      <c r="F21" s="2"/>
      <c r="G21" s="2" t="s">
        <v>188</v>
      </c>
      <c r="H21" s="2"/>
    </row>
    <row r="22" spans="1:8">
      <c r="A22" s="2" t="s">
        <v>75</v>
      </c>
      <c r="B22" s="2" t="s">
        <v>189</v>
      </c>
      <c r="C22" s="2" t="s">
        <v>182</v>
      </c>
      <c r="D22" s="2">
        <v>10000</v>
      </c>
      <c r="E22" s="2" t="s">
        <v>183</v>
      </c>
      <c r="F22" s="2"/>
      <c r="G22" s="2" t="s">
        <v>190</v>
      </c>
      <c r="H22" s="2"/>
    </row>
    <row r="23" spans="1:8">
      <c r="A23" s="2" t="s">
        <v>75</v>
      </c>
      <c r="B23" s="2" t="s">
        <v>103</v>
      </c>
      <c r="C23" s="2" t="s">
        <v>79</v>
      </c>
      <c r="D23" s="2">
        <v>6000</v>
      </c>
      <c r="E23" s="2" t="s">
        <v>177</v>
      </c>
      <c r="F23" s="2"/>
      <c r="G23" s="2" t="s">
        <v>191</v>
      </c>
      <c r="H23" s="2"/>
    </row>
    <row r="24" spans="1:8">
      <c r="A24" s="2" t="s">
        <v>75</v>
      </c>
      <c r="B24" s="2" t="s">
        <v>106</v>
      </c>
      <c r="C24" s="2" t="s">
        <v>107</v>
      </c>
      <c r="D24" s="2">
        <v>10000</v>
      </c>
      <c r="E24" s="2" t="s">
        <v>177</v>
      </c>
      <c r="F24" s="2"/>
      <c r="G24" s="2" t="s">
        <v>192</v>
      </c>
      <c r="H24" s="2"/>
    </row>
    <row r="25" spans="1:8">
      <c r="A25" s="2" t="s">
        <v>75</v>
      </c>
      <c r="B25" s="2" t="s">
        <v>193</v>
      </c>
      <c r="C25" s="2" t="s">
        <v>107</v>
      </c>
      <c r="D25" s="2">
        <v>10000</v>
      </c>
      <c r="E25" s="2" t="s">
        <v>177</v>
      </c>
      <c r="F25" s="2"/>
      <c r="G25" s="2" t="s">
        <v>194</v>
      </c>
      <c r="H25" s="2"/>
    </row>
    <row r="26" spans="1:8">
      <c r="G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Bryce Reed Tucker</dc:creator>
  <cp:keywords/>
  <dc:description/>
  <cp:lastModifiedBy>William Cabot Flaherty</cp:lastModifiedBy>
  <cp:revision/>
  <dcterms:created xsi:type="dcterms:W3CDTF">2024-06-19T23:04:05Z</dcterms:created>
  <dcterms:modified xsi:type="dcterms:W3CDTF">2024-09-03T03:23:55Z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2024-06-19T23:13:45Z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5a421c5b-7f97-4182-8ccf-7f432ad2d60f</vt:lpwstr>
  </property>
  <property fmtid="{D5CDD505-2E9C-101B-9397-08002B2CF9AE}" pid="8" name="MSIP_Label_4044bd30-2ed7-4c9d-9d12-46200872a97b_ContentBits">
    <vt:lpwstr>0</vt:lpwstr>
  </property>
</Properties>
</file>