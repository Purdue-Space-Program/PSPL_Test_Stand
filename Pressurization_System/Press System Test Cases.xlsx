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tucke193_purdue_edu/Documents/PSP/Test Stand/PSPL_Test_Stand/Pressurization_System/"/>
    </mc:Choice>
  </mc:AlternateContent>
  <xr:revisionPtr revIDLastSave="349" documentId="8_{3BA32EE1-FD8D-41E0-A269-E64256623536}" xr6:coauthVersionLast="47" xr6:coauthVersionMax="47" xr10:uidLastSave="{2F25E5AB-9888-4037-ACA2-3C0026F22B04}"/>
  <bookViews>
    <workbookView xWindow="-120" yWindow="-120" windowWidth="38640" windowHeight="21120" xr2:uid="{C0027B85-AECA-41BE-812F-CA93B39DA64E}"/>
  </bookViews>
  <sheets>
    <sheet name="Initial Conditions" sheetId="1" r:id="rId1"/>
    <sheet name="Configuration 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G2" i="1"/>
  <c r="C16" i="2"/>
  <c r="C17" i="2"/>
  <c r="C18" i="2"/>
  <c r="C19" i="2"/>
  <c r="C15" i="2"/>
  <c r="C9" i="2"/>
  <c r="C10" i="2"/>
  <c r="C11" i="2"/>
  <c r="C12" i="2"/>
  <c r="C8" i="2"/>
  <c r="C4" i="2"/>
  <c r="C5" i="2"/>
  <c r="C3" i="2"/>
</calcChain>
</file>

<file path=xl/sharedStrings.xml><?xml version="1.0" encoding="utf-8"?>
<sst xmlns="http://schemas.openxmlformats.org/spreadsheetml/2006/main" count="46" uniqueCount="33">
  <si>
    <t>Oxidizer</t>
  </si>
  <si>
    <t>Fuel</t>
  </si>
  <si>
    <t>Single/Dual Source</t>
  </si>
  <si>
    <t>Test Case Description</t>
  </si>
  <si>
    <t>OX mdot (kg/s)</t>
  </si>
  <si>
    <t>FU mdot (kg/s)</t>
  </si>
  <si>
    <t>Fill Pressure (used for prop density) (psi)</t>
  </si>
  <si>
    <t>Component</t>
  </si>
  <si>
    <t>Valve</t>
  </si>
  <si>
    <t>Tube</t>
  </si>
  <si>
    <t>Regulator</t>
  </si>
  <si>
    <t>Length (ft)</t>
  </si>
  <si>
    <t>Diameter (in)</t>
  </si>
  <si>
    <t>Cv (dimensionless)</t>
  </si>
  <si>
    <t>OX Tank Pressure (psi)</t>
  </si>
  <si>
    <t>Tank Volume (ft^3)</t>
  </si>
  <si>
    <t>FU Tank Pressure (psi)</t>
  </si>
  <si>
    <t>OX Press Gas</t>
  </si>
  <si>
    <t>OX Source Pressure (psi)</t>
  </si>
  <si>
    <t>OX Source Temperature (K)</t>
  </si>
  <si>
    <t>FU Press Gas</t>
  </si>
  <si>
    <t>FU Source Pressure (psi)</t>
  </si>
  <si>
    <t>FU Source Temperature (K)</t>
  </si>
  <si>
    <t>Configuration No.</t>
  </si>
  <si>
    <t>N2</t>
  </si>
  <si>
    <t>Oxygen</t>
  </si>
  <si>
    <t>Test Case Number</t>
  </si>
  <si>
    <t>Combined</t>
  </si>
  <si>
    <t>LOX</t>
  </si>
  <si>
    <t>Fu</t>
  </si>
  <si>
    <t>Single</t>
  </si>
  <si>
    <t>Ethanol</t>
  </si>
  <si>
    <t>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</si>
</sst>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theme="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3" borderId="4" xfId="0" applyFont="1" applyFill="1" applyBorder="1"/>
    <xf numFmtId="0" fontId="3" fillId="4" borderId="4" xfId="0" applyFont="1" applyFill="1" applyBorder="1"/>
    <xf numFmtId="0" fontId="3" fillId="5" borderId="4" xfId="0" applyFont="1" applyFill="1" applyBorder="1"/>
    <xf numFmtId="0" fontId="2" fillId="5" borderId="4" xfId="0" applyFont="1" applyFill="1" applyBorder="1"/>
    <xf numFmtId="0" fontId="3" fillId="5" borderId="0" xfId="0" applyFont="1" applyFill="1" applyBorder="1"/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35B4D9-1642-4FDC-83F9-A202C56D97BF}" name="Table1" displayName="Table1" ref="A1:R2" totalsRowShown="0">
  <autoFilter ref="A1:R2" xr:uid="{6035B4D9-1642-4FDC-83F9-A202C56D97BF}"/>
  <tableColumns count="18">
    <tableColumn id="18" xr3:uid="{01F791EE-3033-4427-BCC2-BA393292DEED}" name="Test Case Number"/>
    <tableColumn id="1" xr3:uid="{F1F2B89A-0182-47BD-AF47-28EBC8F67DC5}" name="Test Case Description"/>
    <tableColumn id="17" xr3:uid="{769BF319-34C2-4202-9D5A-FD7182836356}" name="Configuration No."/>
    <tableColumn id="6" xr3:uid="{26ED1644-701B-48D2-988A-F7E06B9F8F47}" name="Single/Dual Source"/>
    <tableColumn id="15" xr3:uid="{4291074D-C4DD-4453-B948-5D9BEC6801CE}" name="Tank Volume (ft^3)"/>
    <tableColumn id="2" xr3:uid="{028B1448-36D6-4C7B-83A2-D697C29BD4E1}" name="Oxidizer"/>
    <tableColumn id="3" xr3:uid="{AC0C8ABE-2138-46AF-838C-CE23E35B4A09}" name="OX mdot (kg/s)">
      <calculatedColumnFormula>7.209/2.205</calculatedColumnFormula>
    </tableColumn>
    <tableColumn id="7" xr3:uid="{A89FC2E7-A5A5-4B36-A697-D725530FD1AF}" name="OX Tank Pressure (psi)"/>
    <tableColumn id="9" xr3:uid="{A64DC4F4-A184-4D0B-8E07-BC4209542B83}" name="OX Press Gas"/>
    <tableColumn id="10" xr3:uid="{3F2BA43E-8364-4D07-8B5F-8A76FB3F8E6E}" name="OX Source Pressure (psi)"/>
    <tableColumn id="11" xr3:uid="{375A1EBD-2658-41BB-A916-BF3F722D5A95}" name="OX Source Temperature (K)"/>
    <tableColumn id="5" xr3:uid="{6F1CAFC6-53BA-4008-ABF6-539843B7C312}" name="Fuel"/>
    <tableColumn id="4" xr3:uid="{1C2FF809-5FFB-459A-B5D7-42BEF4C04AA2}" name="FU mdot (kg/s)">
      <calculatedColumnFormula>4.29/2.205</calculatedColumnFormula>
    </tableColumn>
    <tableColumn id="16" xr3:uid="{153B6794-733E-497F-AA6F-C8DC855F4143}" name="FU Tank Pressure (psi)"/>
    <tableColumn id="12" xr3:uid="{516A76CC-8D45-4E24-9F7F-142004617BC1}" name="FU Press Gas"/>
    <tableColumn id="13" xr3:uid="{5BB4A00F-DA34-4B22-A583-3BCE9D881BFE}" name="FU Source Pressure (psi)" dataDxfId="0"/>
    <tableColumn id="14" xr3:uid="{303A5C50-F899-4E2C-B94B-A2D11BB69A68}" name="FU Source Temperature (K)"/>
    <tableColumn id="8" xr3:uid="{7659E010-E8AA-4FAC-86E8-2222973BDFFE}" name="Fill Pressure (used for prop density) (psi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8522A-A771-4A2F-B747-04EC8410C62A}">
  <dimension ref="A1:R2"/>
  <sheetViews>
    <sheetView tabSelected="1" zoomScale="145" zoomScaleNormal="145" workbookViewId="0">
      <selection activeCell="Q3" sqref="Q3"/>
    </sheetView>
  </sheetViews>
  <sheetFormatPr defaultRowHeight="15" x14ac:dyDescent="0.25"/>
  <cols>
    <col min="1" max="1" width="20.140625" bestFit="1" customWidth="1"/>
    <col min="2" max="2" width="25.28515625" bestFit="1" customWidth="1"/>
    <col min="3" max="3" width="27.28515625" bestFit="1" customWidth="1"/>
    <col min="4" max="4" width="26" bestFit="1" customWidth="1"/>
    <col min="5" max="5" width="14.28515625" bestFit="1" customWidth="1"/>
    <col min="6" max="6" width="21.7109375" bestFit="1" customWidth="1"/>
    <col min="7" max="7" width="31.42578125" bestFit="1" customWidth="1"/>
    <col min="8" max="8" width="20.7109375" bestFit="1" customWidth="1"/>
    <col min="9" max="9" width="34" bestFit="1" customWidth="1"/>
    <col min="10" max="10" width="36.85546875" bestFit="1" customWidth="1"/>
    <col min="11" max="11" width="10" bestFit="1" customWidth="1"/>
    <col min="12" max="12" width="21.42578125" bestFit="1" customWidth="1"/>
    <col min="13" max="13" width="31" bestFit="1" customWidth="1"/>
    <col min="14" max="14" width="20.28515625" bestFit="1" customWidth="1"/>
    <col min="15" max="15" width="33.5703125" bestFit="1" customWidth="1"/>
    <col min="16" max="16" width="36.42578125" bestFit="1" customWidth="1"/>
    <col min="17" max="17" width="51.7109375" bestFit="1" customWidth="1"/>
    <col min="18" max="18" width="36" bestFit="1" customWidth="1"/>
    <col min="20" max="20" width="25.85546875" bestFit="1" customWidth="1"/>
    <col min="21" max="21" width="28" bestFit="1" customWidth="1"/>
    <col min="22" max="22" width="14.7109375" bestFit="1" customWidth="1"/>
    <col min="23" max="23" width="25.5703125" bestFit="1" customWidth="1"/>
    <col min="24" max="24" width="27.5703125" bestFit="1" customWidth="1"/>
    <col min="26" max="26" width="11.140625" bestFit="1" customWidth="1"/>
  </cols>
  <sheetData>
    <row r="1" spans="1:18" x14ac:dyDescent="0.25">
      <c r="A1" t="s">
        <v>26</v>
      </c>
      <c r="B1" t="s">
        <v>3</v>
      </c>
      <c r="C1" t="s">
        <v>23</v>
      </c>
      <c r="D1" t="s">
        <v>2</v>
      </c>
      <c r="E1" t="s">
        <v>15</v>
      </c>
      <c r="F1" t="s">
        <v>0</v>
      </c>
      <c r="G1" t="s">
        <v>4</v>
      </c>
      <c r="H1" t="s">
        <v>14</v>
      </c>
      <c r="I1" t="s">
        <v>17</v>
      </c>
      <c r="J1" t="s">
        <v>18</v>
      </c>
      <c r="K1" t="s">
        <v>19</v>
      </c>
      <c r="L1" t="s">
        <v>1</v>
      </c>
      <c r="M1" t="s">
        <v>5</v>
      </c>
      <c r="N1" t="s">
        <v>16</v>
      </c>
      <c r="O1" t="s">
        <v>20</v>
      </c>
      <c r="P1" t="s">
        <v>21</v>
      </c>
      <c r="Q1" t="s">
        <v>22</v>
      </c>
      <c r="R1" t="s">
        <v>6</v>
      </c>
    </row>
    <row r="2" spans="1:18" x14ac:dyDescent="0.25">
      <c r="A2" s="1">
        <v>0</v>
      </c>
      <c r="B2" s="1" t="s">
        <v>32</v>
      </c>
      <c r="C2" s="1">
        <v>1</v>
      </c>
      <c r="D2" s="1" t="s">
        <v>30</v>
      </c>
      <c r="E2" s="1">
        <v>3.4</v>
      </c>
      <c r="F2" s="1" t="s">
        <v>25</v>
      </c>
      <c r="G2" s="1">
        <f>7.209/2.205</f>
        <v>3.2693877551020405</v>
      </c>
      <c r="H2" s="1">
        <v>1055</v>
      </c>
      <c r="I2" s="1" t="s">
        <v>24</v>
      </c>
      <c r="J2" s="1">
        <v>1842</v>
      </c>
      <c r="K2" s="1">
        <v>288.70600000000002</v>
      </c>
      <c r="L2" s="1" t="s">
        <v>31</v>
      </c>
      <c r="M2" s="1">
        <f>4.29/2.205</f>
        <v>1.9455782312925169</v>
      </c>
      <c r="N2" s="1">
        <v>1055</v>
      </c>
      <c r="O2" s="1" t="s">
        <v>24</v>
      </c>
      <c r="P2" s="1">
        <v>1842</v>
      </c>
      <c r="Q2" s="1">
        <v>288.70600000000002</v>
      </c>
      <c r="R2" s="1">
        <v>14.7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C9C01-56F8-4798-8850-4C6BA490C79B}">
  <dimension ref="A1:D25"/>
  <sheetViews>
    <sheetView zoomScale="130" zoomScaleNormal="130" workbookViewId="0">
      <selection activeCell="K4" sqref="K4:P15"/>
    </sheetView>
  </sheetViews>
  <sheetFormatPr defaultRowHeight="15" x14ac:dyDescent="0.25"/>
  <cols>
    <col min="1" max="1" width="14" bestFit="1" customWidth="1"/>
    <col min="2" max="2" width="12.7109375" bestFit="1" customWidth="1"/>
    <col min="3" max="3" width="15.42578125" bestFit="1" customWidth="1"/>
    <col min="4" max="4" width="21.140625" bestFit="1" customWidth="1"/>
  </cols>
  <sheetData>
    <row r="1" spans="1:4" x14ac:dyDescent="0.25">
      <c r="A1" s="2" t="s">
        <v>7</v>
      </c>
      <c r="B1" s="3" t="s">
        <v>11</v>
      </c>
      <c r="C1" s="3" t="s">
        <v>12</v>
      </c>
      <c r="D1" s="4" t="s">
        <v>13</v>
      </c>
    </row>
    <row r="2" spans="1:4" x14ac:dyDescent="0.25">
      <c r="A2" s="5" t="s">
        <v>27</v>
      </c>
      <c r="B2" s="5"/>
      <c r="C2" s="5"/>
      <c r="D2" s="5"/>
    </row>
    <row r="3" spans="1:4" x14ac:dyDescent="0.25">
      <c r="A3" s="6" t="s">
        <v>9</v>
      </c>
      <c r="B3" s="6">
        <v>10</v>
      </c>
      <c r="C3">
        <f>0.5-0.089*2</f>
        <v>0.32200000000000001</v>
      </c>
      <c r="D3" s="6"/>
    </row>
    <row r="4" spans="1:4" x14ac:dyDescent="0.25">
      <c r="A4" s="7" t="s">
        <v>8</v>
      </c>
      <c r="B4" s="7"/>
      <c r="C4">
        <f t="shared" ref="C4:C19" si="0">0.5-0.089*2</f>
        <v>0.32200000000000001</v>
      </c>
      <c r="D4" s="7">
        <v>8</v>
      </c>
    </row>
    <row r="5" spans="1:4" x14ac:dyDescent="0.25">
      <c r="A5" s="6" t="s">
        <v>9</v>
      </c>
      <c r="B5" s="6">
        <v>3</v>
      </c>
      <c r="C5">
        <f t="shared" si="0"/>
        <v>0.32200000000000001</v>
      </c>
      <c r="D5" s="6"/>
    </row>
    <row r="6" spans="1:4" x14ac:dyDescent="0.25">
      <c r="A6" s="8" t="s">
        <v>28</v>
      </c>
      <c r="B6" s="7"/>
      <c r="C6" s="7"/>
      <c r="D6" s="7"/>
    </row>
    <row r="7" spans="1:4" x14ac:dyDescent="0.25">
      <c r="A7" s="8" t="s">
        <v>8</v>
      </c>
      <c r="B7" s="7"/>
      <c r="C7" s="9">
        <v>0.32200000000000001</v>
      </c>
      <c r="D7" s="7">
        <v>8</v>
      </c>
    </row>
    <row r="8" spans="1:4" x14ac:dyDescent="0.25">
      <c r="A8" s="7" t="s">
        <v>9</v>
      </c>
      <c r="B8" s="7">
        <v>3</v>
      </c>
      <c r="C8">
        <f t="shared" si="0"/>
        <v>0.32200000000000001</v>
      </c>
      <c r="D8" s="7"/>
    </row>
    <row r="9" spans="1:4" x14ac:dyDescent="0.25">
      <c r="A9" s="7" t="s">
        <v>10</v>
      </c>
      <c r="B9" s="7"/>
      <c r="C9">
        <f t="shared" si="0"/>
        <v>0.32200000000000001</v>
      </c>
      <c r="D9" s="7">
        <v>1.3</v>
      </c>
    </row>
    <row r="10" spans="1:4" x14ac:dyDescent="0.25">
      <c r="A10" s="7" t="s">
        <v>9</v>
      </c>
      <c r="B10" s="7">
        <v>6</v>
      </c>
      <c r="C10">
        <f t="shared" si="0"/>
        <v>0.32200000000000001</v>
      </c>
      <c r="D10" s="7"/>
    </row>
    <row r="11" spans="1:4" x14ac:dyDescent="0.25">
      <c r="A11" s="7" t="s">
        <v>8</v>
      </c>
      <c r="B11" s="7"/>
      <c r="C11">
        <f t="shared" si="0"/>
        <v>0.32200000000000001</v>
      </c>
      <c r="D11" s="7">
        <v>8</v>
      </c>
    </row>
    <row r="12" spans="1:4" x14ac:dyDescent="0.25">
      <c r="A12" s="7" t="s">
        <v>9</v>
      </c>
      <c r="B12" s="7">
        <v>0.5</v>
      </c>
      <c r="C12">
        <f t="shared" si="0"/>
        <v>0.32200000000000001</v>
      </c>
      <c r="D12" s="7"/>
    </row>
    <row r="13" spans="1:4" x14ac:dyDescent="0.25">
      <c r="A13" s="8" t="s">
        <v>29</v>
      </c>
      <c r="B13" s="7"/>
      <c r="C13" s="7"/>
      <c r="D13" s="7"/>
    </row>
    <row r="14" spans="1:4" x14ac:dyDescent="0.25">
      <c r="A14" s="8" t="s">
        <v>8</v>
      </c>
      <c r="B14" s="7"/>
      <c r="C14" s="9">
        <v>0.32200000000000001</v>
      </c>
      <c r="D14" s="7">
        <v>8</v>
      </c>
    </row>
    <row r="15" spans="1:4" x14ac:dyDescent="0.25">
      <c r="A15" s="7" t="s">
        <v>9</v>
      </c>
      <c r="B15" s="7">
        <v>8</v>
      </c>
      <c r="C15">
        <f t="shared" si="0"/>
        <v>0.32200000000000001</v>
      </c>
      <c r="D15" s="7"/>
    </row>
    <row r="16" spans="1:4" x14ac:dyDescent="0.25">
      <c r="A16" s="7" t="s">
        <v>10</v>
      </c>
      <c r="B16" s="7"/>
      <c r="C16">
        <f t="shared" si="0"/>
        <v>0.32200000000000001</v>
      </c>
      <c r="D16" s="7">
        <v>1.3</v>
      </c>
    </row>
    <row r="17" spans="1:4" x14ac:dyDescent="0.25">
      <c r="A17" s="7" t="s">
        <v>9</v>
      </c>
      <c r="B17" s="7">
        <v>6</v>
      </c>
      <c r="C17">
        <f t="shared" si="0"/>
        <v>0.32200000000000001</v>
      </c>
      <c r="D17" s="7"/>
    </row>
    <row r="18" spans="1:4" x14ac:dyDescent="0.25">
      <c r="A18" s="7" t="s">
        <v>8</v>
      </c>
      <c r="B18" s="7"/>
      <c r="C18">
        <f t="shared" si="0"/>
        <v>0.32200000000000001</v>
      </c>
      <c r="D18" s="7">
        <v>8</v>
      </c>
    </row>
    <row r="19" spans="1:4" x14ac:dyDescent="0.25">
      <c r="A19" s="7" t="s">
        <v>9</v>
      </c>
      <c r="B19" s="7">
        <v>0.5</v>
      </c>
      <c r="C19">
        <f t="shared" si="0"/>
        <v>0.32200000000000001</v>
      </c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4" x14ac:dyDescent="0.25">
      <c r="A25" s="7"/>
      <c r="B25" s="7"/>
      <c r="C25" s="7"/>
      <c r="D2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 Conditions</vt:lpstr>
      <vt:lpstr>Configuration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Reed Tucker</dc:creator>
  <cp:lastModifiedBy>Bryce Reed Tucker</cp:lastModifiedBy>
  <dcterms:created xsi:type="dcterms:W3CDTF">2024-07-20T18:04:38Z</dcterms:created>
  <dcterms:modified xsi:type="dcterms:W3CDTF">2024-10-14T04:28:57Z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2024-07-20T18:09:48Z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e4743043-9018-4c38-9ced-c78e1c34dabe</vt:lpwstr>
  </property>
  <property fmtid="{D5CDD505-2E9C-101B-9397-08002B2CF9AE}" pid="8" name="MSIP_Label_4044bd30-2ed7-4c9d-9d12-46200872a97b_ContentBits">
    <vt:lpwstr>0</vt:lpwstr>
  </property>
</Properties>
</file>