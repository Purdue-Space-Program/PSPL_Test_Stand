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tucke193_purdue_edu/Documents/PSP/Test Stand/PSPL_Test_Stand/"/>
    </mc:Choice>
  </mc:AlternateContent>
  <xr:revisionPtr revIDLastSave="30" documentId="11_2B59D9BF08C4D3A54CCDCDBECD328E9B5299384E" xr6:coauthVersionLast="47" xr6:coauthVersionMax="47" xr10:uidLastSave="{A049798D-7BC2-4BE5-B716-1BEB38CAA83E}"/>
  <bookViews>
    <workbookView xWindow="-120" yWindow="-120" windowWidth="38640" windowHeight="21120" activeTab="1" xr2:uid="{00000000-000D-0000-FFFF-FFFF00000000}"/>
  </bookViews>
  <sheets>
    <sheet name="Sheet1" sheetId="1" r:id="rId1"/>
    <sheet name="Test 0; Config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" l="1"/>
</calcChain>
</file>

<file path=xl/sharedStrings.xml><?xml version="1.0" encoding="utf-8"?>
<sst xmlns="http://schemas.openxmlformats.org/spreadsheetml/2006/main" count="223" uniqueCount="152">
  <si>
    <t>T (K)</t>
  </si>
  <si>
    <t>P (psi)</t>
  </si>
  <si>
    <t>T0 (K)</t>
  </si>
  <si>
    <t>P0 (psi)</t>
  </si>
  <si>
    <t>Mach</t>
  </si>
  <si>
    <t>Speed of Sound</t>
  </si>
  <si>
    <t>Velocity</t>
  </si>
  <si>
    <t>Error</t>
  </si>
  <si>
    <t>Component</t>
  </si>
  <si>
    <t>dP (psi)</t>
  </si>
  <si>
    <t>0.0000</t>
  </si>
  <si>
    <t>Tube, stations 2-3:</t>
  </si>
  <si>
    <t>-270.8602 psi</t>
  </si>
  <si>
    <t>284.4470 K</t>
  </si>
  <si>
    <t>1771.8713 psi</t>
  </si>
  <si>
    <t>288.7060 K</t>
  </si>
  <si>
    <t>1842.0000 psi</t>
  </si>
  <si>
    <t>1217.3271 ft/s</t>
  </si>
  <si>
    <t>267.4385 ft/s</t>
  </si>
  <si>
    <t>Valve, stations 4-5:</t>
  </si>
  <si>
    <t>-2.7802 psi</t>
  </si>
  <si>
    <t>282.7370 K</t>
  </si>
  <si>
    <t>1487.7094 psi</t>
  </si>
  <si>
    <t>1571.1398 psi</t>
  </si>
  <si>
    <t>1213.6625 ft/s</t>
  </si>
  <si>
    <t>316.6061 ft/s</t>
  </si>
  <si>
    <t>Tube, stations 6-7:</t>
  </si>
  <si>
    <t>-91.9634 psi</t>
  </si>
  <si>
    <t>282.9322 K</t>
  </si>
  <si>
    <t>1488.2000 psi</t>
  </si>
  <si>
    <t>1200.1078 ft/s</t>
  </si>
  <si>
    <t>314.6876 ft/s</t>
  </si>
  <si>
    <t>Valve, stations 9-10:</t>
  </si>
  <si>
    <t>-3.0026 psi</t>
  </si>
  <si>
    <t>282.9123 K</t>
  </si>
  <si>
    <t>1485.2605 psi</t>
  </si>
  <si>
    <t>1568.3596 psi</t>
  </si>
  <si>
    <t>1199.9220 ft/s</t>
  </si>
  <si>
    <t>315.2703 ft/s</t>
  </si>
  <si>
    <t>Tube, stations 11-12:</t>
  </si>
  <si>
    <t>-26.4222 psi</t>
  </si>
  <si>
    <t>Regulator, stations 13-14:</t>
  </si>
  <si>
    <t>-131.0228 psi</t>
  </si>
  <si>
    <t>282.1047 K</t>
  </si>
  <si>
    <t>1387.4778 psi</t>
  </si>
  <si>
    <t>1476.3962 psi</t>
  </si>
  <si>
    <t>1198.2082 ft/s</t>
  </si>
  <si>
    <t>336.5257 ft/s</t>
  </si>
  <si>
    <t>Tube, stations 15-16:</t>
  </si>
  <si>
    <t>-60.1815 psi</t>
  </si>
  <si>
    <t>2.0000</t>
  </si>
  <si>
    <t>Valve, stations 17-18:</t>
  </si>
  <si>
    <t>-3.5266 psi</t>
  </si>
  <si>
    <t>287.0408 K</t>
  </si>
  <si>
    <t>1453.4004 psi</t>
  </si>
  <si>
    <t>1203.8673 ft/s</t>
  </si>
  <si>
    <t>169.7603 ft/s</t>
  </si>
  <si>
    <t>Tube, stations 19-20:</t>
  </si>
  <si>
    <t>-5.1618 psi</t>
  </si>
  <si>
    <t>287.0345 K</t>
  </si>
  <si>
    <t>1450.3507 psi</t>
  </si>
  <si>
    <t>1473.3935 psi</t>
  </si>
  <si>
    <t>1203.6983 ft/s</t>
  </si>
  <si>
    <t>170.1044 ft/s</t>
  </si>
  <si>
    <t>Valve, stations 22-23:</t>
  </si>
  <si>
    <t>-3.0053 psi</t>
  </si>
  <si>
    <t>Tube, stations 24-25:</t>
  </si>
  <si>
    <t>-61.1431 psi</t>
  </si>
  <si>
    <t>286.9716 K</t>
  </si>
  <si>
    <t>1423.4945 psi</t>
  </si>
  <si>
    <t>1446.9714 psi</t>
  </si>
  <si>
    <t>1203.5664 ft/s</t>
  </si>
  <si>
    <t>173.2757 ft/s</t>
  </si>
  <si>
    <t>Regulator, stations 26-27:</t>
  </si>
  <si>
    <t>-135.3502 psi</t>
  </si>
  <si>
    <t>286.9778 K</t>
  </si>
  <si>
    <t>1423.5049 psi</t>
  </si>
  <si>
    <t>1202.2082 ft/s</t>
  </si>
  <si>
    <t>173.1980 ft/s</t>
  </si>
  <si>
    <t>Tube, stations 28-29:</t>
  </si>
  <si>
    <t>-53.0026 psi</t>
  </si>
  <si>
    <t>286.6447 K</t>
  </si>
  <si>
    <t>1290.1080 psi</t>
  </si>
  <si>
    <t>1315.9486 psi</t>
  </si>
  <si>
    <t>1194.7307 ft/s</t>
  </si>
  <si>
    <t>190.4985 ft/s</t>
  </si>
  <si>
    <t>Valve, stations 30-31:</t>
  </si>
  <si>
    <t>-3.6224 psi</t>
  </si>
  <si>
    <t>Tube, stations 32-33:</t>
  </si>
  <si>
    <t>-4.5350 psi</t>
  </si>
  <si>
    <t>286.4366 K</t>
  </si>
  <si>
    <t>1228.6358 psi</t>
  </si>
  <si>
    <t>1255.7672 psi</t>
  </si>
  <si>
    <t>1194.2969 ft/s</t>
  </si>
  <si>
    <t>199.8845 ft/s</t>
  </si>
  <si>
    <t>286.4559 K</t>
  </si>
  <si>
    <t>1228.6549 psi</t>
  </si>
  <si>
    <t>1191.2359 ft/s</t>
  </si>
  <si>
    <t>199.7391 ft/s</t>
  </si>
  <si>
    <t>286.4440 K</t>
  </si>
  <si>
    <t>1225.0496 psi</t>
  </si>
  <si>
    <t>1252.2405 psi</t>
  </si>
  <si>
    <t>1191.0297 ft/s</t>
  </si>
  <si>
    <t>200.3101 ft/s</t>
  </si>
  <si>
    <t>286.4246 K</t>
  </si>
  <si>
    <t>1219.7703 psi</t>
  </si>
  <si>
    <t>1247.0788 psi</t>
  </si>
  <si>
    <t>1190.9896 ft/s</t>
  </si>
  <si>
    <t>201.1635 ft/s</t>
  </si>
  <si>
    <t>1.0000</t>
  </si>
  <si>
    <t>287.2942 K</t>
  </si>
  <si>
    <t>1456.8849 psi</t>
  </si>
  <si>
    <t>1204.3986 ft/s</t>
  </si>
  <si>
    <t>156.3117 ft/s</t>
  </si>
  <si>
    <t>287.2889 K</t>
  </si>
  <si>
    <t>1453.8398 psi</t>
  </si>
  <si>
    <t>1473.3909 psi</t>
  </si>
  <si>
    <t>1204.2314 ft/s</t>
  </si>
  <si>
    <t>156.6278 ft/s</t>
  </si>
  <si>
    <t>287.1611 K</t>
  </si>
  <si>
    <t>1391.8268 psi</t>
  </si>
  <si>
    <t>1412.2478 psi</t>
  </si>
  <si>
    <t>1203.9637 ft/s</t>
  </si>
  <si>
    <t>163.5336 ft/s</t>
  </si>
  <si>
    <t>287.1739 K</t>
  </si>
  <si>
    <t>1391.8472 psi</t>
  </si>
  <si>
    <t>1200.8177 ft/s</t>
  </si>
  <si>
    <t>163.3679 ft/s</t>
  </si>
  <si>
    <t>286.8591 K</t>
  </si>
  <si>
    <t>1254.3041 psi</t>
  </si>
  <si>
    <t>1276.8975 psi</t>
  </si>
  <si>
    <t>1193.1627 ft/s</t>
  </si>
  <si>
    <t>180.7288 ft/s</t>
  </si>
  <si>
    <t>286.6915 K</t>
  </si>
  <si>
    <t>1200.2861 psi</t>
  </si>
  <si>
    <t>1223.8949 psi</t>
  </si>
  <si>
    <t>1192.8141 ft/s</t>
  </si>
  <si>
    <t>188.7520 ft/s</t>
  </si>
  <si>
    <t>286.7068 K</t>
  </si>
  <si>
    <t>1200.2996 psi</t>
  </si>
  <si>
    <t>1190.1184 ft/s</t>
  </si>
  <si>
    <t>188.6398 ft/s</t>
  </si>
  <si>
    <t>286.6957 K</t>
  </si>
  <si>
    <t>1196.6053 psi</t>
  </si>
  <si>
    <t>1220.2725 psi</t>
  </si>
  <si>
    <t>1189.9091 ft/s</t>
  </si>
  <si>
    <t>189.2071 ft/s</t>
  </si>
  <si>
    <t>286.6803 K</t>
  </si>
  <si>
    <t>1191.9786 psi</t>
  </si>
  <si>
    <t>1215.7375 psi</t>
  </si>
  <si>
    <t>1189.8771 ft/s</t>
  </si>
  <si>
    <t>189.9313 ft/s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</si>
</sst>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85725</xdr:colOff>
      <xdr:row>8</xdr:row>
      <xdr:rowOff>19050</xdr:rowOff>
    </xdr:from>
    <xdr:to>
      <xdr:col>22</xdr:col>
      <xdr:colOff>285863</xdr:colOff>
      <xdr:row>47</xdr:row>
      <xdr:rowOff>86771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1258EE-DA75-8180-C829-DD8F7C8F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30300" y="1543050"/>
          <a:ext cx="809738" cy="7497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abSelected="1" workbookViewId="0">
      <selection activeCell="P19" sqref="P19"/>
    </sheetView>
  </sheetViews>
  <sheetFormatPr defaultRowHeight="15" x14ac:dyDescent="0.25"/>
  <cols>
    <col min="2" max="2" width="10.140625" bestFit="1" customWidth="1"/>
    <col min="3" max="3" width="12.5703125" bestFit="1" customWidth="1"/>
    <col min="4" max="4" width="10.140625" bestFit="1" customWidth="1"/>
    <col min="5" max="5" width="12.5703125" bestFit="1" customWidth="1"/>
    <col min="6" max="6" width="7.5703125" bestFit="1" customWidth="1"/>
    <col min="7" max="7" width="15" bestFit="1" customWidth="1"/>
    <col min="8" max="8" width="12.140625" bestFit="1" customWidth="1"/>
    <col min="11" max="11" width="23.7109375" bestFit="1" customWidth="1"/>
    <col min="12" max="12" width="12.2851562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 t="s">
        <v>8</v>
      </c>
      <c r="L1" s="1" t="s">
        <v>9</v>
      </c>
    </row>
    <row r="2" spans="1:12" x14ac:dyDescent="0.25">
      <c r="A2" s="1">
        <v>1</v>
      </c>
      <c r="B2" t="s">
        <v>10</v>
      </c>
      <c r="K2" t="s">
        <v>11</v>
      </c>
      <c r="L2" t="s">
        <v>12</v>
      </c>
    </row>
    <row r="3" spans="1:12" x14ac:dyDescent="0.25">
      <c r="A3" s="1">
        <v>2</v>
      </c>
      <c r="B3" t="s">
        <v>13</v>
      </c>
      <c r="C3" t="s">
        <v>14</v>
      </c>
      <c r="D3" t="s">
        <v>15</v>
      </c>
      <c r="E3" t="s">
        <v>16</v>
      </c>
      <c r="F3" s="3">
        <v>0.21970000000000001</v>
      </c>
      <c r="G3" t="s">
        <v>17</v>
      </c>
      <c r="H3" t="s">
        <v>18</v>
      </c>
      <c r="K3" t="s">
        <v>19</v>
      </c>
      <c r="L3" t="s">
        <v>20</v>
      </c>
    </row>
    <row r="4" spans="1:12" x14ac:dyDescent="0.25">
      <c r="A4" s="1">
        <v>3</v>
      </c>
      <c r="B4" t="s">
        <v>21</v>
      </c>
      <c r="C4" t="s">
        <v>22</v>
      </c>
      <c r="D4" t="s">
        <v>15</v>
      </c>
      <c r="E4" t="s">
        <v>23</v>
      </c>
      <c r="F4" s="3">
        <v>0.26090000000000002</v>
      </c>
      <c r="G4" t="s">
        <v>24</v>
      </c>
      <c r="H4" t="s">
        <v>25</v>
      </c>
      <c r="K4" t="s">
        <v>26</v>
      </c>
      <c r="L4" t="s">
        <v>27</v>
      </c>
    </row>
    <row r="5" spans="1:12" x14ac:dyDescent="0.25">
      <c r="A5" s="1">
        <v>4</v>
      </c>
      <c r="B5" t="s">
        <v>28</v>
      </c>
      <c r="C5" t="s">
        <v>29</v>
      </c>
      <c r="D5" t="s">
        <v>15</v>
      </c>
      <c r="E5" t="s">
        <v>23</v>
      </c>
      <c r="F5" s="3">
        <v>0.26219999999999999</v>
      </c>
      <c r="G5" t="s">
        <v>30</v>
      </c>
      <c r="H5" t="s">
        <v>31</v>
      </c>
      <c r="K5" t="s">
        <v>32</v>
      </c>
      <c r="L5" t="s">
        <v>33</v>
      </c>
    </row>
    <row r="6" spans="1:12" x14ac:dyDescent="0.25">
      <c r="A6" s="1">
        <v>5</v>
      </c>
      <c r="B6" t="s">
        <v>34</v>
      </c>
      <c r="C6" t="s">
        <v>35</v>
      </c>
      <c r="D6" t="s">
        <v>15</v>
      </c>
      <c r="E6" t="s">
        <v>36</v>
      </c>
      <c r="F6" s="3">
        <v>0.26269999999999999</v>
      </c>
      <c r="G6" t="s">
        <v>37</v>
      </c>
      <c r="H6" t="s">
        <v>38</v>
      </c>
      <c r="K6" t="s">
        <v>39</v>
      </c>
      <c r="L6" t="s">
        <v>40</v>
      </c>
    </row>
    <row r="7" spans="1:12" x14ac:dyDescent="0.25">
      <c r="A7" s="1">
        <v>6</v>
      </c>
      <c r="B7" t="s">
        <v>34</v>
      </c>
      <c r="C7" t="s">
        <v>35</v>
      </c>
      <c r="D7" t="s">
        <v>15</v>
      </c>
      <c r="E7" t="s">
        <v>36</v>
      </c>
      <c r="F7" s="3">
        <v>0.26269999999999999</v>
      </c>
      <c r="G7" t="s">
        <v>37</v>
      </c>
      <c r="H7" t="s">
        <v>38</v>
      </c>
      <c r="K7" t="s">
        <v>41</v>
      </c>
      <c r="L7" t="s">
        <v>42</v>
      </c>
    </row>
    <row r="8" spans="1:12" x14ac:dyDescent="0.25">
      <c r="A8" s="1">
        <v>7</v>
      </c>
      <c r="B8" t="s">
        <v>43</v>
      </c>
      <c r="C8" t="s">
        <v>44</v>
      </c>
      <c r="D8" t="s">
        <v>15</v>
      </c>
      <c r="E8" t="s">
        <v>45</v>
      </c>
      <c r="F8" s="3">
        <v>0.28089999999999998</v>
      </c>
      <c r="G8" t="s">
        <v>46</v>
      </c>
      <c r="H8" t="s">
        <v>47</v>
      </c>
      <c r="K8" t="s">
        <v>48</v>
      </c>
      <c r="L8" t="s">
        <v>49</v>
      </c>
    </row>
    <row r="9" spans="1:12" x14ac:dyDescent="0.25">
      <c r="A9" s="1">
        <v>8</v>
      </c>
      <c r="B9" t="s">
        <v>50</v>
      </c>
      <c r="F9" s="3"/>
      <c r="K9" t="s">
        <v>51</v>
      </c>
      <c r="L9" t="s">
        <v>52</v>
      </c>
    </row>
    <row r="10" spans="1:12" x14ac:dyDescent="0.25">
      <c r="A10" s="1">
        <v>9</v>
      </c>
      <c r="B10" t="s">
        <v>53</v>
      </c>
      <c r="C10" t="s">
        <v>54</v>
      </c>
      <c r="D10" t="s">
        <v>15</v>
      </c>
      <c r="E10" t="s">
        <v>45</v>
      </c>
      <c r="F10" s="3">
        <v>0.14099999999999999</v>
      </c>
      <c r="G10" t="s">
        <v>55</v>
      </c>
      <c r="H10" t="s">
        <v>56</v>
      </c>
      <c r="K10" t="s">
        <v>57</v>
      </c>
      <c r="L10" t="s">
        <v>58</v>
      </c>
    </row>
    <row r="11" spans="1:12" x14ac:dyDescent="0.25">
      <c r="A11" s="1">
        <v>10</v>
      </c>
      <c r="B11" t="s">
        <v>59</v>
      </c>
      <c r="C11" t="s">
        <v>60</v>
      </c>
      <c r="D11" t="s">
        <v>15</v>
      </c>
      <c r="E11" t="s">
        <v>61</v>
      </c>
      <c r="F11" s="3">
        <v>0.14130000000000001</v>
      </c>
      <c r="G11" t="s">
        <v>62</v>
      </c>
      <c r="H11" t="s">
        <v>63</v>
      </c>
      <c r="K11" t="s">
        <v>64</v>
      </c>
      <c r="L11" t="s">
        <v>65</v>
      </c>
    </row>
    <row r="12" spans="1:12" x14ac:dyDescent="0.25">
      <c r="A12" s="1">
        <v>11</v>
      </c>
      <c r="B12" t="s">
        <v>59</v>
      </c>
      <c r="C12" t="s">
        <v>60</v>
      </c>
      <c r="D12" t="s">
        <v>15</v>
      </c>
      <c r="E12" t="s">
        <v>61</v>
      </c>
      <c r="F12" s="3">
        <v>0.14130000000000001</v>
      </c>
      <c r="G12" t="s">
        <v>62</v>
      </c>
      <c r="H12" t="s">
        <v>63</v>
      </c>
      <c r="K12" t="s">
        <v>66</v>
      </c>
      <c r="L12" t="s">
        <v>67</v>
      </c>
    </row>
    <row r="13" spans="1:12" x14ac:dyDescent="0.25">
      <c r="A13" s="1">
        <v>12</v>
      </c>
      <c r="B13" t="s">
        <v>68</v>
      </c>
      <c r="C13" t="s">
        <v>69</v>
      </c>
      <c r="D13" t="s">
        <v>15</v>
      </c>
      <c r="E13" t="s">
        <v>70</v>
      </c>
      <c r="F13" s="3">
        <v>0.14399999999999999</v>
      </c>
      <c r="G13" t="s">
        <v>71</v>
      </c>
      <c r="H13" t="s">
        <v>72</v>
      </c>
      <c r="K13" t="s">
        <v>73</v>
      </c>
      <c r="L13" t="s">
        <v>74</v>
      </c>
    </row>
    <row r="14" spans="1:12" x14ac:dyDescent="0.25">
      <c r="A14" s="1">
        <v>13</v>
      </c>
      <c r="B14" t="s">
        <v>75</v>
      </c>
      <c r="C14" t="s">
        <v>76</v>
      </c>
      <c r="D14" t="s">
        <v>15</v>
      </c>
      <c r="E14" t="s">
        <v>70</v>
      </c>
      <c r="F14" s="3">
        <v>0.14410000000000001</v>
      </c>
      <c r="G14" t="s">
        <v>77</v>
      </c>
      <c r="H14" t="s">
        <v>78</v>
      </c>
      <c r="K14" t="s">
        <v>79</v>
      </c>
      <c r="L14" t="s">
        <v>80</v>
      </c>
    </row>
    <row r="15" spans="1:12" x14ac:dyDescent="0.25">
      <c r="A15" s="1">
        <v>14</v>
      </c>
      <c r="B15" t="s">
        <v>81</v>
      </c>
      <c r="C15" t="s">
        <v>82</v>
      </c>
      <c r="D15" t="s">
        <v>15</v>
      </c>
      <c r="E15" t="s">
        <v>83</v>
      </c>
      <c r="F15" s="3">
        <v>0.15939999999999999</v>
      </c>
      <c r="G15" t="s">
        <v>84</v>
      </c>
      <c r="H15" t="s">
        <v>85</v>
      </c>
      <c r="K15" t="s">
        <v>86</v>
      </c>
      <c r="L15" t="s">
        <v>87</v>
      </c>
    </row>
    <row r="16" spans="1:12" x14ac:dyDescent="0.25">
      <c r="A16" s="1">
        <v>15</v>
      </c>
      <c r="B16" t="s">
        <v>81</v>
      </c>
      <c r="C16" t="s">
        <v>82</v>
      </c>
      <c r="D16" t="s">
        <v>15</v>
      </c>
      <c r="E16" t="s">
        <v>83</v>
      </c>
      <c r="F16" s="3">
        <v>0.15939999999999999</v>
      </c>
      <c r="G16" t="s">
        <v>84</v>
      </c>
      <c r="H16" t="s">
        <v>85</v>
      </c>
      <c r="K16" t="s">
        <v>88</v>
      </c>
      <c r="L16" t="s">
        <v>89</v>
      </c>
    </row>
    <row r="17" spans="1:8" x14ac:dyDescent="0.25">
      <c r="A17" s="1">
        <v>16</v>
      </c>
      <c r="B17" t="s">
        <v>90</v>
      </c>
      <c r="C17" t="s">
        <v>91</v>
      </c>
      <c r="D17" t="s">
        <v>15</v>
      </c>
      <c r="E17" t="s">
        <v>92</v>
      </c>
      <c r="F17" s="3">
        <v>0.16739999999999999</v>
      </c>
      <c r="G17" t="s">
        <v>93</v>
      </c>
      <c r="H17" t="s">
        <v>94</v>
      </c>
    </row>
    <row r="18" spans="1:8" x14ac:dyDescent="0.25">
      <c r="A18" s="1">
        <v>17</v>
      </c>
      <c r="B18" t="s">
        <v>95</v>
      </c>
      <c r="C18" t="s">
        <v>96</v>
      </c>
      <c r="D18" t="s">
        <v>15</v>
      </c>
      <c r="E18" t="s">
        <v>92</v>
      </c>
      <c r="F18" s="3">
        <v>0.16769999999999999</v>
      </c>
      <c r="G18" t="s">
        <v>97</v>
      </c>
      <c r="H18" t="s">
        <v>98</v>
      </c>
    </row>
    <row r="19" spans="1:8" x14ac:dyDescent="0.25">
      <c r="A19" s="1">
        <v>18</v>
      </c>
      <c r="B19" t="s">
        <v>99</v>
      </c>
      <c r="C19" t="s">
        <v>100</v>
      </c>
      <c r="D19" t="s">
        <v>15</v>
      </c>
      <c r="E19" t="s">
        <v>101</v>
      </c>
      <c r="F19" s="3">
        <v>0.16819999999999999</v>
      </c>
      <c r="G19" t="s">
        <v>102</v>
      </c>
      <c r="H19" t="s">
        <v>103</v>
      </c>
    </row>
    <row r="20" spans="1:8" x14ac:dyDescent="0.25">
      <c r="A20" s="1">
        <v>19</v>
      </c>
      <c r="B20" t="s">
        <v>99</v>
      </c>
      <c r="C20" t="s">
        <v>100</v>
      </c>
      <c r="D20" t="s">
        <v>15</v>
      </c>
      <c r="E20" t="s">
        <v>101</v>
      </c>
      <c r="F20" s="3">
        <v>0.16819999999999999</v>
      </c>
      <c r="G20" t="s">
        <v>102</v>
      </c>
      <c r="H20" t="s">
        <v>103</v>
      </c>
    </row>
    <row r="21" spans="1:8" x14ac:dyDescent="0.25">
      <c r="A21" s="1">
        <v>20</v>
      </c>
      <c r="B21" t="s">
        <v>104</v>
      </c>
      <c r="C21" t="s">
        <v>105</v>
      </c>
      <c r="D21" t="s">
        <v>15</v>
      </c>
      <c r="E21" t="s">
        <v>106</v>
      </c>
      <c r="F21" s="3">
        <v>0.16889999999999999</v>
      </c>
      <c r="G21" t="s">
        <v>107</v>
      </c>
      <c r="H21" t="s">
        <v>108</v>
      </c>
    </row>
    <row r="22" spans="1:8" x14ac:dyDescent="0.25">
      <c r="A22" s="1">
        <v>21</v>
      </c>
      <c r="B22" t="s">
        <v>109</v>
      </c>
      <c r="F22" s="3"/>
    </row>
    <row r="23" spans="1:8" x14ac:dyDescent="0.25">
      <c r="A23" s="1">
        <v>22</v>
      </c>
      <c r="B23" t="s">
        <v>110</v>
      </c>
      <c r="C23" t="s">
        <v>111</v>
      </c>
      <c r="D23" t="s">
        <v>15</v>
      </c>
      <c r="E23" t="s">
        <v>45</v>
      </c>
      <c r="F23" s="3">
        <v>0.1298</v>
      </c>
      <c r="G23" t="s">
        <v>112</v>
      </c>
      <c r="H23" t="s">
        <v>113</v>
      </c>
    </row>
    <row r="24" spans="1:8" x14ac:dyDescent="0.25">
      <c r="A24" s="1">
        <v>23</v>
      </c>
      <c r="B24" t="s">
        <v>114</v>
      </c>
      <c r="C24" t="s">
        <v>115</v>
      </c>
      <c r="D24" t="s">
        <v>15</v>
      </c>
      <c r="E24" t="s">
        <v>116</v>
      </c>
      <c r="F24" s="3">
        <v>0.13009999999999999</v>
      </c>
      <c r="G24" t="s">
        <v>117</v>
      </c>
      <c r="H24" t="s">
        <v>118</v>
      </c>
    </row>
    <row r="25" spans="1:8" x14ac:dyDescent="0.25">
      <c r="A25" s="1">
        <v>24</v>
      </c>
      <c r="B25" t="s">
        <v>114</v>
      </c>
      <c r="C25" t="s">
        <v>115</v>
      </c>
      <c r="D25" t="s">
        <v>15</v>
      </c>
      <c r="E25" t="s">
        <v>116</v>
      </c>
      <c r="F25" s="3">
        <v>0.13009999999999999</v>
      </c>
      <c r="G25" t="s">
        <v>117</v>
      </c>
      <c r="H25" t="s">
        <v>118</v>
      </c>
    </row>
    <row r="26" spans="1:8" x14ac:dyDescent="0.25">
      <c r="A26" s="1">
        <v>25</v>
      </c>
      <c r="B26" t="s">
        <v>119</v>
      </c>
      <c r="C26" t="s">
        <v>120</v>
      </c>
      <c r="D26" t="s">
        <v>15</v>
      </c>
      <c r="E26" t="s">
        <v>121</v>
      </c>
      <c r="F26" s="3">
        <v>0.1358</v>
      </c>
      <c r="G26" t="s">
        <v>122</v>
      </c>
      <c r="H26" t="s">
        <v>123</v>
      </c>
    </row>
    <row r="27" spans="1:8" x14ac:dyDescent="0.25">
      <c r="A27" s="1">
        <v>26</v>
      </c>
      <c r="B27" t="s">
        <v>124</v>
      </c>
      <c r="C27" t="s">
        <v>125</v>
      </c>
      <c r="D27" t="s">
        <v>15</v>
      </c>
      <c r="E27" t="s">
        <v>121</v>
      </c>
      <c r="F27" s="3">
        <v>0.13600000000000001</v>
      </c>
      <c r="G27" t="s">
        <v>126</v>
      </c>
      <c r="H27" t="s">
        <v>127</v>
      </c>
    </row>
    <row r="28" spans="1:8" x14ac:dyDescent="0.25">
      <c r="A28" s="1">
        <v>27</v>
      </c>
      <c r="B28" t="s">
        <v>128</v>
      </c>
      <c r="C28" t="s">
        <v>129</v>
      </c>
      <c r="D28" t="s">
        <v>15</v>
      </c>
      <c r="E28" t="s">
        <v>130</v>
      </c>
      <c r="F28" s="3">
        <v>0.1515</v>
      </c>
      <c r="G28" t="s">
        <v>131</v>
      </c>
      <c r="H28" t="s">
        <v>132</v>
      </c>
    </row>
    <row r="29" spans="1:8" x14ac:dyDescent="0.25">
      <c r="A29" s="1">
        <v>28</v>
      </c>
      <c r="B29" t="s">
        <v>128</v>
      </c>
      <c r="C29" t="s">
        <v>129</v>
      </c>
      <c r="D29" t="s">
        <v>15</v>
      </c>
      <c r="E29" t="s">
        <v>130</v>
      </c>
      <c r="F29" s="3">
        <v>0.1515</v>
      </c>
      <c r="G29" t="s">
        <v>131</v>
      </c>
      <c r="H29" t="s">
        <v>132</v>
      </c>
    </row>
    <row r="30" spans="1:8" x14ac:dyDescent="0.25">
      <c r="A30" s="1">
        <v>29</v>
      </c>
      <c r="B30" t="s">
        <v>133</v>
      </c>
      <c r="C30" t="s">
        <v>134</v>
      </c>
      <c r="D30" t="s">
        <v>15</v>
      </c>
      <c r="E30" t="s">
        <v>135</v>
      </c>
      <c r="F30" s="3">
        <v>0.15820000000000001</v>
      </c>
      <c r="G30" t="s">
        <v>136</v>
      </c>
      <c r="H30" t="s">
        <v>137</v>
      </c>
    </row>
    <row r="31" spans="1:8" x14ac:dyDescent="0.25">
      <c r="A31" s="1">
        <v>30</v>
      </c>
      <c r="B31" t="s">
        <v>138</v>
      </c>
      <c r="C31" t="s">
        <v>139</v>
      </c>
      <c r="D31" t="s">
        <v>15</v>
      </c>
      <c r="E31" t="s">
        <v>135</v>
      </c>
      <c r="F31" s="3">
        <v>0.1585</v>
      </c>
      <c r="G31" t="s">
        <v>140</v>
      </c>
      <c r="H31" t="s">
        <v>141</v>
      </c>
    </row>
    <row r="32" spans="1:8" x14ac:dyDescent="0.25">
      <c r="A32" s="1">
        <v>31</v>
      </c>
      <c r="B32" t="s">
        <v>142</v>
      </c>
      <c r="C32" t="s">
        <v>143</v>
      </c>
      <c r="D32" t="s">
        <v>15</v>
      </c>
      <c r="E32" t="s">
        <v>144</v>
      </c>
      <c r="F32" s="3">
        <v>0.159</v>
      </c>
      <c r="G32" t="s">
        <v>145</v>
      </c>
      <c r="H32" t="s">
        <v>146</v>
      </c>
    </row>
    <row r="33" spans="1:8" x14ac:dyDescent="0.25">
      <c r="A33" s="1">
        <v>32</v>
      </c>
      <c r="B33" t="s">
        <v>142</v>
      </c>
      <c r="C33" t="s">
        <v>143</v>
      </c>
      <c r="D33" t="s">
        <v>15</v>
      </c>
      <c r="E33" t="s">
        <v>144</v>
      </c>
      <c r="F33" s="3">
        <v>0.159</v>
      </c>
      <c r="G33" t="s">
        <v>145</v>
      </c>
      <c r="H33" t="s">
        <v>146</v>
      </c>
    </row>
    <row r="34" spans="1:8" x14ac:dyDescent="0.25">
      <c r="A34" s="1">
        <v>33</v>
      </c>
      <c r="B34" t="s">
        <v>147</v>
      </c>
      <c r="C34" t="s">
        <v>148</v>
      </c>
      <c r="D34" t="s">
        <v>15</v>
      </c>
      <c r="E34" t="s">
        <v>149</v>
      </c>
      <c r="F34" s="3">
        <v>0.15959999999999999</v>
      </c>
      <c r="G34" t="s">
        <v>150</v>
      </c>
      <c r="H34" t="s">
        <v>151</v>
      </c>
    </row>
    <row r="37" spans="1:8" x14ac:dyDescent="0.25">
      <c r="F37" s="2">
        <f>MAX(F3:F34)</f>
        <v>0.28089999999999998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0; Config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Bryce Reed Tucker</cp:lastModifiedBy>
  <dcterms:created xsi:type="dcterms:W3CDTF">2024-10-14T04:29:11Z</dcterms:created>
  <dcterms:modified xsi:type="dcterms:W3CDTF">2024-10-14T04:36:53Z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2024-10-14T04:29:50Z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71ebab37-b479-437e-8f95-d190b177d4d9</vt:lpwstr>
  </property>
  <property fmtid="{D5CDD505-2E9C-101B-9397-08002B2CF9AE}" pid="8" name="MSIP_Label_4044bd30-2ed7-4c9d-9d12-46200872a97b_ContentBits">
    <vt:lpwstr>0</vt:lpwstr>
  </property>
</Properties>
</file>